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NLOGIT\Park_CE_2023\Stats\"/>
    </mc:Choice>
  </mc:AlternateContent>
  <xr:revisionPtr revIDLastSave="0" documentId="13_ncr:1_{9AC36988-491B-408A-9F8C-4F5E04F83A17}" xr6:coauthVersionLast="47" xr6:coauthVersionMax="47" xr10:uidLastSave="{00000000-0000-0000-0000-000000000000}"/>
  <bookViews>
    <workbookView xWindow="-120" yWindow="-120" windowWidth="57840" windowHeight="23520" xr2:uid="{3D882380-1C37-4640-8A12-B0ED7AFCFC06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L2" i="1"/>
  <c r="L3" i="1"/>
  <c r="L4" i="1"/>
  <c r="L5" i="1"/>
  <c r="L6" i="1"/>
  <c r="L7" i="1"/>
  <c r="L8" i="1"/>
  <c r="L9" i="1"/>
  <c r="L10" i="1"/>
  <c r="L11" i="1"/>
  <c r="L15" i="1"/>
  <c r="L16" i="1"/>
  <c r="L17" i="1"/>
  <c r="L18" i="1"/>
  <c r="L19" i="1"/>
  <c r="L20" i="1"/>
  <c r="L21" i="1"/>
  <c r="L22" i="1"/>
  <c r="L23" i="1"/>
  <c r="L24" i="1"/>
  <c r="L28" i="1"/>
  <c r="L29" i="1"/>
  <c r="L30" i="1"/>
  <c r="L31" i="1"/>
  <c r="L32" i="1"/>
  <c r="L33" i="1"/>
  <c r="L34" i="1"/>
  <c r="L35" i="1"/>
  <c r="L36" i="1"/>
  <c r="L37" i="1"/>
  <c r="L41" i="1"/>
  <c r="L42" i="1"/>
  <c r="L43" i="1"/>
  <c r="L44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7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0" i="1"/>
  <c r="I49" i="1"/>
  <c r="I48" i="1"/>
  <c r="I47" i="1"/>
  <c r="I46" i="1"/>
  <c r="I45" i="1"/>
  <c r="I44" i="1"/>
  <c r="I43" i="1"/>
  <c r="I42" i="1"/>
  <c r="I41" i="1"/>
  <c r="I37" i="1"/>
  <c r="I36" i="1"/>
  <c r="I35" i="1"/>
  <c r="I34" i="1"/>
  <c r="I33" i="1"/>
  <c r="I32" i="1"/>
  <c r="I31" i="1"/>
  <c r="I30" i="1"/>
  <c r="I29" i="1"/>
  <c r="I28" i="1"/>
  <c r="I24" i="1"/>
  <c r="I23" i="1"/>
  <c r="I22" i="1"/>
  <c r="I21" i="1"/>
  <c r="I20" i="1"/>
  <c r="I19" i="1"/>
  <c r="I18" i="1"/>
  <c r="I17" i="1"/>
  <c r="I16" i="1"/>
  <c r="I15" i="1"/>
  <c r="I4" i="1"/>
  <c r="I5" i="1"/>
  <c r="I6" i="1"/>
  <c r="I7" i="1"/>
  <c r="I8" i="1"/>
  <c r="I9" i="1"/>
  <c r="I10" i="1"/>
  <c r="I11" i="1"/>
  <c r="G937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H53" i="1"/>
  <c r="L53" i="1" s="1"/>
  <c r="G52" i="1"/>
  <c r="H52" i="1"/>
  <c r="L52" i="1" s="1"/>
  <c r="G51" i="1"/>
  <c r="H51" i="1"/>
  <c r="L51" i="1" s="1"/>
  <c r="G50" i="1"/>
  <c r="G49" i="1"/>
  <c r="G48" i="1"/>
  <c r="G47" i="1"/>
  <c r="G46" i="1"/>
  <c r="G45" i="1"/>
  <c r="G44" i="1"/>
  <c r="G43" i="1"/>
  <c r="G42" i="1"/>
  <c r="G41" i="1"/>
  <c r="G40" i="1"/>
  <c r="H40" i="1"/>
  <c r="I40" i="1" s="1"/>
  <c r="G39" i="1"/>
  <c r="H39" i="1"/>
  <c r="L39" i="1" s="1"/>
  <c r="G38" i="1"/>
  <c r="H38" i="1"/>
  <c r="I38" i="1" s="1"/>
  <c r="G37" i="1"/>
  <c r="G36" i="1"/>
  <c r="G35" i="1"/>
  <c r="G34" i="1"/>
  <c r="G33" i="1"/>
  <c r="G32" i="1"/>
  <c r="G31" i="1"/>
  <c r="G30" i="1"/>
  <c r="G29" i="1"/>
  <c r="G28" i="1"/>
  <c r="G27" i="1"/>
  <c r="H27" i="1"/>
  <c r="L27" i="1" s="1"/>
  <c r="G26" i="1"/>
  <c r="H26" i="1"/>
  <c r="L26" i="1" s="1"/>
  <c r="G25" i="1"/>
  <c r="H25" i="1"/>
  <c r="I25" i="1" s="1"/>
  <c r="G24" i="1"/>
  <c r="G23" i="1"/>
  <c r="G22" i="1"/>
  <c r="G21" i="1"/>
  <c r="G20" i="1"/>
  <c r="G19" i="1"/>
  <c r="G18" i="1"/>
  <c r="G17" i="1"/>
  <c r="G16" i="1"/>
  <c r="G15" i="1"/>
  <c r="G14" i="1"/>
  <c r="H14" i="1"/>
  <c r="L14" i="1" s="1"/>
  <c r="G13" i="1"/>
  <c r="H13" i="1"/>
  <c r="L13" i="1" s="1"/>
  <c r="G12" i="1"/>
  <c r="H12" i="1"/>
  <c r="L12" i="1" s="1"/>
  <c r="G11" i="1"/>
  <c r="G10" i="1"/>
  <c r="G9" i="1"/>
  <c r="G8" i="1"/>
  <c r="G7" i="1"/>
  <c r="G6" i="1"/>
  <c r="G5" i="1"/>
  <c r="G4" i="1"/>
  <c r="G3" i="1"/>
  <c r="G2" i="1"/>
  <c r="I51" i="1" l="1"/>
  <c r="I53" i="1"/>
  <c r="L25" i="1"/>
  <c r="L40" i="1"/>
  <c r="L38" i="1"/>
  <c r="I26" i="1"/>
  <c r="I27" i="1"/>
  <c r="I14" i="1"/>
  <c r="I13" i="1"/>
  <c r="I52" i="1"/>
  <c r="I12" i="1"/>
  <c r="I39" i="1"/>
</calcChain>
</file>

<file path=xl/sharedStrings.xml><?xml version="1.0" encoding="utf-8"?>
<sst xmlns="http://schemas.openxmlformats.org/spreadsheetml/2006/main" count="1884" uniqueCount="41">
  <si>
    <t>ID</t>
    <phoneticPr fontId="2"/>
  </si>
  <si>
    <t>UGS</t>
    <phoneticPr fontId="2"/>
  </si>
  <si>
    <t>Year</t>
    <phoneticPr fontId="2"/>
  </si>
  <si>
    <t>Dist</t>
    <phoneticPr fontId="2"/>
  </si>
  <si>
    <t>Pop</t>
    <phoneticPr fontId="2"/>
  </si>
  <si>
    <t>Vis</t>
    <phoneticPr fontId="2"/>
  </si>
  <si>
    <t>Eld</t>
    <phoneticPr fontId="2"/>
  </si>
  <si>
    <t>Maruyama</t>
    <phoneticPr fontId="2"/>
  </si>
  <si>
    <t>Chuo</t>
    <phoneticPr fontId="2"/>
  </si>
  <si>
    <t>Kita</t>
    <phoneticPr fontId="2"/>
  </si>
  <si>
    <t>Higashi</t>
    <phoneticPr fontId="2"/>
  </si>
  <si>
    <t>Shiroishi</t>
    <phoneticPr fontId="2"/>
  </si>
  <si>
    <t>Atsubetsu</t>
    <phoneticPr fontId="2"/>
  </si>
  <si>
    <t>Toyohira</t>
    <phoneticPr fontId="2"/>
  </si>
  <si>
    <t>Kiyota</t>
    <phoneticPr fontId="2"/>
  </si>
  <si>
    <t>Minami</t>
    <phoneticPr fontId="2"/>
  </si>
  <si>
    <t>Nishi</t>
    <phoneticPr fontId="2"/>
  </si>
  <si>
    <t>Teine</t>
    <phoneticPr fontId="2"/>
  </si>
  <si>
    <t>Ishikari</t>
    <phoneticPr fontId="2"/>
  </si>
  <si>
    <t>Ebetsu</t>
    <phoneticPr fontId="2"/>
  </si>
  <si>
    <t>Kitahiroshima</t>
    <phoneticPr fontId="2"/>
  </si>
  <si>
    <t>Citis</t>
    <phoneticPr fontId="2"/>
  </si>
  <si>
    <t>Moere</t>
    <phoneticPr fontId="2"/>
  </si>
  <si>
    <t>Chl</t>
    <phoneticPr fontId="2"/>
  </si>
  <si>
    <t>Odori</t>
    <phoneticPr fontId="2"/>
  </si>
  <si>
    <t>(a)Takino</t>
    <phoneticPr fontId="2"/>
  </si>
  <si>
    <t>Makoma</t>
    <phoneticPr fontId="2"/>
  </si>
  <si>
    <t>SapporoArt</t>
    <phoneticPr fontId="2"/>
  </si>
  <si>
    <t>Monami</t>
    <phoneticPr fontId="2"/>
  </si>
  <si>
    <t>Nakajima</t>
    <phoneticPr fontId="2"/>
  </si>
  <si>
    <t>Asahiyama</t>
    <phoneticPr fontId="2"/>
  </si>
  <si>
    <t>Hiraoka</t>
    <phoneticPr fontId="2"/>
  </si>
  <si>
    <t>Tsukisamu</t>
    <phoneticPr fontId="2"/>
  </si>
  <si>
    <t>Yurigahara</t>
    <phoneticPr fontId="2"/>
  </si>
  <si>
    <t>Kawashimo</t>
    <phoneticPr fontId="2"/>
  </si>
  <si>
    <t>Maeda</t>
    <phoneticPr fontId="2"/>
  </si>
  <si>
    <t>Gotenzan</t>
    <phoneticPr fontId="2"/>
  </si>
  <si>
    <t>Tonden</t>
    <phoneticPr fontId="2"/>
  </si>
  <si>
    <t>ln(Vis/Pop)</t>
    <phoneticPr fontId="2"/>
  </si>
  <si>
    <t>Dist</t>
    <phoneticPr fontId="2"/>
  </si>
  <si>
    <t>TC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</si>
</sst>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#,##0.0;[Red]\-#,##0.0"/>
    <numFmt numFmtId="178" formatCode="_(* #,##0_);_(* \(#,##0\);_(* &quot;-&quot;??_);_(@_)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2"/>
      <color rgb="FF000000"/>
      <name val="游ゴシック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8" fontId="0" fillId="0" borderId="0" xfId="1" applyFont="1" applyBorder="1">
      <alignment vertical="center"/>
    </xf>
    <xf numFmtId="177" fontId="0" fillId="0" borderId="0" xfId="1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177" fontId="0" fillId="0" borderId="1" xfId="1" applyNumberFormat="1" applyFont="1" applyBorder="1">
      <alignment vertical="center"/>
    </xf>
    <xf numFmtId="178" fontId="3" fillId="2" borderId="0" xfId="2" applyNumberFormat="1" applyFont="1" applyFill="1" applyAlignment="1">
      <alignment horizontal="right" vertical="center"/>
    </xf>
    <xf numFmtId="178" fontId="4" fillId="0" borderId="1" xfId="2" applyNumberFormat="1" applyFont="1" applyBorder="1">
      <alignment vertical="center"/>
    </xf>
    <xf numFmtId="178" fontId="0" fillId="0" borderId="0" xfId="2" applyNumberFormat="1" applyFont="1" applyAlignment="1">
      <alignment horizontal="right" vertical="center"/>
    </xf>
    <xf numFmtId="178" fontId="4" fillId="0" borderId="0" xfId="2" applyNumberFormat="1" applyFont="1" applyBorder="1">
      <alignment vertical="center"/>
    </xf>
    <xf numFmtId="2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</cellXfs>
  <cellStyles count="3">
    <cellStyle name="桁区切り" xfId="1" builtinId="6"/>
    <cellStyle name="桁区切り [0.00]" xfId="2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Rawdata!$G$2:$G$53</c:f>
              <c:numCache>
                <c:formatCode>0.00</c:formatCode>
                <c:ptCount val="52"/>
                <c:pt idx="0">
                  <c:v>-0.80140718278518974</c:v>
                </c:pt>
                <c:pt idx="1">
                  <c:v>-2.0463009056706309</c:v>
                </c:pt>
                <c:pt idx="2">
                  <c:v>-1.9294623299334948</c:v>
                </c:pt>
                <c:pt idx="3">
                  <c:v>-2.0628638735291602</c:v>
                </c:pt>
                <c:pt idx="4">
                  <c:v>-2.037260414277057</c:v>
                </c:pt>
                <c:pt idx="5">
                  <c:v>-1.996979671321367</c:v>
                </c:pt>
                <c:pt idx="6">
                  <c:v>-2.9201771084733741</c:v>
                </c:pt>
                <c:pt idx="7">
                  <c:v>-1.5101498413037577</c:v>
                </c:pt>
                <c:pt idx="8">
                  <c:v>-1.2533667260981249</c:v>
                </c:pt>
                <c:pt idx="9">
                  <c:v>-1.6239511352726654</c:v>
                </c:pt>
                <c:pt idx="10">
                  <c:v>-2.4731766688652819</c:v>
                </c:pt>
                <c:pt idx="11">
                  <c:v>-2.5080713857673169</c:v>
                </c:pt>
                <c:pt idx="12">
                  <c:v>-2.7179145821671917</c:v>
                </c:pt>
                <c:pt idx="13">
                  <c:v>-0.72028547884546756</c:v>
                </c:pt>
                <c:pt idx="14">
                  <c:v>-2.1229099864965462</c:v>
                </c:pt>
                <c:pt idx="15">
                  <c:v>-1.899681868572541</c:v>
                </c:pt>
                <c:pt idx="16">
                  <c:v>-1.9839704433953929</c:v>
                </c:pt>
                <c:pt idx="17">
                  <c:v>-1.430483786863997</c:v>
                </c:pt>
                <c:pt idx="18">
                  <c:v>-1.976140865144538</c:v>
                </c:pt>
                <c:pt idx="19">
                  <c:v>-2.7159956455526557</c:v>
                </c:pt>
                <c:pt idx="20">
                  <c:v>-1.6652624151911199</c:v>
                </c:pt>
                <c:pt idx="21">
                  <c:v>-1.3009522719350559</c:v>
                </c:pt>
                <c:pt idx="22">
                  <c:v>-1.6189129837606901</c:v>
                </c:pt>
                <c:pt idx="23">
                  <c:v>-2.4031138104079042</c:v>
                </c:pt>
                <c:pt idx="24">
                  <c:v>-2.2772672850097559</c:v>
                </c:pt>
                <c:pt idx="25">
                  <c:v>-2.6671422567937682</c:v>
                </c:pt>
                <c:pt idx="26">
                  <c:v>-1.0423704654837687</c:v>
                </c:pt>
                <c:pt idx="27">
                  <c:v>-2.6119400404773745</c:v>
                </c:pt>
                <c:pt idx="28">
                  <c:v>-2.5389248857143043</c:v>
                </c:pt>
                <c:pt idx="29">
                  <c:v>-2.615354817541351</c:v>
                </c:pt>
                <c:pt idx="30">
                  <c:v>-2.5659651990776151</c:v>
                </c:pt>
                <c:pt idx="31">
                  <c:v>-2.6012969460917144</c:v>
                </c:pt>
                <c:pt idx="32">
                  <c:v>-3.0950362500557538</c:v>
                </c:pt>
                <c:pt idx="33">
                  <c:v>-2.3611000229680648</c:v>
                </c:pt>
                <c:pt idx="34">
                  <c:v>-1.9365594220435194</c:v>
                </c:pt>
                <c:pt idx="35">
                  <c:v>-2.70871650541751</c:v>
                </c:pt>
                <c:pt idx="36">
                  <c:v>-3.0150672685553315</c:v>
                </c:pt>
                <c:pt idx="37">
                  <c:v>-2.8893809721220594</c:v>
                </c:pt>
                <c:pt idx="38">
                  <c:v>-3.1194810498596985</c:v>
                </c:pt>
                <c:pt idx="39">
                  <c:v>-1.094703258819582</c:v>
                </c:pt>
                <c:pt idx="40">
                  <c:v>-2.3825056839468863</c:v>
                </c:pt>
                <c:pt idx="41">
                  <c:v>-2.458485745924575</c:v>
                </c:pt>
                <c:pt idx="42">
                  <c:v>-2.3446450585417127</c:v>
                </c:pt>
                <c:pt idx="43">
                  <c:v>-2.6398971247546124</c:v>
                </c:pt>
                <c:pt idx="44">
                  <c:v>-2.4061136668286696</c:v>
                </c:pt>
                <c:pt idx="45">
                  <c:v>-3.1769270696653549</c:v>
                </c:pt>
                <c:pt idx="46">
                  <c:v>-2.3840060082580399</c:v>
                </c:pt>
                <c:pt idx="47">
                  <c:v>-2.0402279169295729</c:v>
                </c:pt>
                <c:pt idx="48">
                  <c:v>-2.5964445468757713</c:v>
                </c:pt>
                <c:pt idx="49">
                  <c:v>-3.1702941816703274</c:v>
                </c:pt>
                <c:pt idx="50">
                  <c:v>-3.3621215579165677</c:v>
                </c:pt>
                <c:pt idx="51">
                  <c:v>-2.8715879453725996</c:v>
                </c:pt>
              </c:numCache>
            </c:numRef>
          </c:xVal>
          <c:yVal>
            <c:numRef>
              <c:f>Rawdata!$I$2:$I$53</c:f>
              <c:numCache>
                <c:formatCode>#,##0.0;[Red]\-#,##0.0</c:formatCode>
                <c:ptCount val="52"/>
                <c:pt idx="0">
                  <c:v>645.03</c:v>
                </c:pt>
                <c:pt idx="1">
                  <c:v>1409.5100000000002</c:v>
                </c:pt>
                <c:pt idx="2">
                  <c:v>1552.8500000000001</c:v>
                </c:pt>
                <c:pt idx="3">
                  <c:v>1982.8700000000001</c:v>
                </c:pt>
                <c:pt idx="4">
                  <c:v>3917.9599999999996</c:v>
                </c:pt>
                <c:pt idx="5">
                  <c:v>1767.8600000000001</c:v>
                </c:pt>
                <c:pt idx="6">
                  <c:v>3440.1600000000003</c:v>
                </c:pt>
                <c:pt idx="7">
                  <c:v>2102.3200000000002</c:v>
                </c:pt>
                <c:pt idx="8">
                  <c:v>788.37000000000012</c:v>
                </c:pt>
                <c:pt idx="9">
                  <c:v>2795.13</c:v>
                </c:pt>
                <c:pt idx="10">
                  <c:v>4395.76</c:v>
                </c:pt>
                <c:pt idx="11">
                  <c:v>5757.49</c:v>
                </c:pt>
                <c:pt idx="12">
                  <c:v>6402.52</c:v>
                </c:pt>
                <c:pt idx="13">
                  <c:v>645.03</c:v>
                </c:pt>
                <c:pt idx="14">
                  <c:v>1409.5100000000002</c:v>
                </c:pt>
                <c:pt idx="15">
                  <c:v>1552.8500000000001</c:v>
                </c:pt>
                <c:pt idx="16">
                  <c:v>1982.8700000000001</c:v>
                </c:pt>
                <c:pt idx="17">
                  <c:v>3917.9599999999996</c:v>
                </c:pt>
                <c:pt idx="18">
                  <c:v>1767.8600000000001</c:v>
                </c:pt>
                <c:pt idx="19">
                  <c:v>3440.1600000000003</c:v>
                </c:pt>
                <c:pt idx="20">
                  <c:v>2102.3200000000002</c:v>
                </c:pt>
                <c:pt idx="21">
                  <c:v>788.37000000000012</c:v>
                </c:pt>
                <c:pt idx="22">
                  <c:v>2795.13</c:v>
                </c:pt>
                <c:pt idx="23">
                  <c:v>4395.76</c:v>
                </c:pt>
                <c:pt idx="24">
                  <c:v>5757.49</c:v>
                </c:pt>
                <c:pt idx="25">
                  <c:v>6402.52</c:v>
                </c:pt>
                <c:pt idx="26">
                  <c:v>645.03</c:v>
                </c:pt>
                <c:pt idx="27">
                  <c:v>1409.5100000000002</c:v>
                </c:pt>
                <c:pt idx="28">
                  <c:v>1552.8500000000001</c:v>
                </c:pt>
                <c:pt idx="29">
                  <c:v>1982.8700000000001</c:v>
                </c:pt>
                <c:pt idx="30">
                  <c:v>3917.9599999999996</c:v>
                </c:pt>
                <c:pt idx="31">
                  <c:v>1767.8600000000001</c:v>
                </c:pt>
                <c:pt idx="32">
                  <c:v>3440.1600000000003</c:v>
                </c:pt>
                <c:pt idx="33">
                  <c:v>2102.3200000000002</c:v>
                </c:pt>
                <c:pt idx="34">
                  <c:v>788.37000000000012</c:v>
                </c:pt>
                <c:pt idx="35">
                  <c:v>2795.13</c:v>
                </c:pt>
                <c:pt idx="36">
                  <c:v>4395.76</c:v>
                </c:pt>
                <c:pt idx="37">
                  <c:v>5757.49</c:v>
                </c:pt>
                <c:pt idx="38">
                  <c:v>6402.52</c:v>
                </c:pt>
                <c:pt idx="39">
                  <c:v>645.03</c:v>
                </c:pt>
                <c:pt idx="40">
                  <c:v>1409.5100000000002</c:v>
                </c:pt>
                <c:pt idx="41">
                  <c:v>1552.8500000000001</c:v>
                </c:pt>
                <c:pt idx="42">
                  <c:v>1982.8700000000001</c:v>
                </c:pt>
                <c:pt idx="43">
                  <c:v>3917.9599999999996</c:v>
                </c:pt>
                <c:pt idx="44">
                  <c:v>1767.8600000000001</c:v>
                </c:pt>
                <c:pt idx="45">
                  <c:v>3440.1600000000003</c:v>
                </c:pt>
                <c:pt idx="46">
                  <c:v>2102.3200000000002</c:v>
                </c:pt>
                <c:pt idx="47">
                  <c:v>788.37000000000012</c:v>
                </c:pt>
                <c:pt idx="48">
                  <c:v>2795.13</c:v>
                </c:pt>
                <c:pt idx="49">
                  <c:v>4395.76</c:v>
                </c:pt>
                <c:pt idx="50">
                  <c:v>5757.49</c:v>
                </c:pt>
                <c:pt idx="51">
                  <c:v>6402.52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B8-4187-BA4B-C7F53FC64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Rawdata!$G$54:$G$105</c:f>
              <c:numCache>
                <c:formatCode>0.00</c:formatCode>
                <c:ptCount val="52"/>
                <c:pt idx="0">
                  <c:v>-3.8661630552203747</c:v>
                </c:pt>
                <c:pt idx="1">
                  <c:v>-3.1364693804357482</c:v>
                </c:pt>
                <c:pt idx="2">
                  <c:v>-2.3819146100007416</c:v>
                </c:pt>
                <c:pt idx="3">
                  <c:v>-3.0675243614678758</c:v>
                </c:pt>
                <c:pt idx="4">
                  <c:v>-3.942733706429979</c:v>
                </c:pt>
                <c:pt idx="5">
                  <c:v>-3.7921127087555884</c:v>
                </c:pt>
                <c:pt idx="6">
                  <c:v>-4.6594258174664169</c:v>
                </c:pt>
                <c:pt idx="7">
                  <c:v>-4.5561405120725711</c:v>
                </c:pt>
                <c:pt idx="8">
                  <c:v>-4.1557181743770064</c:v>
                </c:pt>
                <c:pt idx="9">
                  <c:v>-4.8178515668953175</c:v>
                </c:pt>
                <c:pt idx="10">
                  <c:v>-3.6392932904900577</c:v>
                </c:pt>
                <c:pt idx="11">
                  <c:v>-3.4774350524556419</c:v>
                </c:pt>
                <c:pt idx="12">
                  <c:v>-4.0724276934189758</c:v>
                </c:pt>
                <c:pt idx="13">
                  <c:v>-3.369066739247486</c:v>
                </c:pt>
                <c:pt idx="14">
                  <c:v>-2.8710553735046687</c:v>
                </c:pt>
                <c:pt idx="15">
                  <c:v>-1.9158040838527359</c:v>
                </c:pt>
                <c:pt idx="16">
                  <c:v>-2.9466128416987578</c:v>
                </c:pt>
                <c:pt idx="17">
                  <c:v>-3.2326248440663927</c:v>
                </c:pt>
                <c:pt idx="18">
                  <c:v>-3.4272235624440861</c:v>
                </c:pt>
                <c:pt idx="19">
                  <c:v>-4.2087621765339112</c:v>
                </c:pt>
                <c:pt idx="20">
                  <c:v>-3.8221152375842049</c:v>
                </c:pt>
                <c:pt idx="21">
                  <c:v>-3.2616598270299564</c:v>
                </c:pt>
                <c:pt idx="22">
                  <c:v>-3.7320413151594862</c:v>
                </c:pt>
                <c:pt idx="23">
                  <c:v>-3.4490823655905918</c:v>
                </c:pt>
                <c:pt idx="24">
                  <c:v>-2.8466356946069835</c:v>
                </c:pt>
                <c:pt idx="25">
                  <c:v>-3.5118033325286686</c:v>
                </c:pt>
                <c:pt idx="26">
                  <c:v>-3.713797281061066</c:v>
                </c:pt>
                <c:pt idx="27">
                  <c:v>-3.0251348612199833</c:v>
                </c:pt>
                <c:pt idx="28">
                  <c:v>-1.8288353662492443</c:v>
                </c:pt>
                <c:pt idx="29">
                  <c:v>-3.6321486132269385</c:v>
                </c:pt>
                <c:pt idx="30">
                  <c:v>-3.944383871820937</c:v>
                </c:pt>
                <c:pt idx="31">
                  <c:v>-3.5378062605962395</c:v>
                </c:pt>
                <c:pt idx="32">
                  <c:v>-4.5954439179430651</c:v>
                </c:pt>
                <c:pt idx="33">
                  <c:v>-3.6949148499408988</c:v>
                </c:pt>
                <c:pt idx="34">
                  <c:v>-3.6773355787829241</c:v>
                </c:pt>
                <c:pt idx="35">
                  <c:v>-3.8090140693949595</c:v>
                </c:pt>
                <c:pt idx="36">
                  <c:v>-2.7687451624829205</c:v>
                </c:pt>
                <c:pt idx="37">
                  <c:v>-3.3423002388569132</c:v>
                </c:pt>
                <c:pt idx="38">
                  <c:v>-5.6051662127271129</c:v>
                </c:pt>
                <c:pt idx="39">
                  <c:v>-3.5954280789166213</c:v>
                </c:pt>
                <c:pt idx="40">
                  <c:v>-3.3068784069981856</c:v>
                </c:pt>
                <c:pt idx="41">
                  <c:v>-1.9325548078076709</c:v>
                </c:pt>
                <c:pt idx="42">
                  <c:v>-3.774769231838659</c:v>
                </c:pt>
                <c:pt idx="43">
                  <c:v>-3.975839600082951</c:v>
                </c:pt>
                <c:pt idx="44">
                  <c:v>-2.6677201206436569</c:v>
                </c:pt>
                <c:pt idx="45">
                  <c:v>-3.8592793522994291</c:v>
                </c:pt>
                <c:pt idx="46">
                  <c:v>-4.0553227243194501</c:v>
                </c:pt>
                <c:pt idx="47">
                  <c:v>-4.0255360055453657</c:v>
                </c:pt>
                <c:pt idx="48">
                  <c:v>-4.0431283961375204</c:v>
                </c:pt>
                <c:pt idx="49">
                  <c:v>-3.4331610850023844</c:v>
                </c:pt>
                <c:pt idx="50">
                  <c:v>-3.8952792206883569</c:v>
                </c:pt>
                <c:pt idx="51">
                  <c:v>-4.7625522016523352</c:v>
                </c:pt>
              </c:numCache>
            </c:numRef>
          </c:xVal>
          <c:yVal>
            <c:numRef>
              <c:f>Rawdata!$I$54:$I$105</c:f>
              <c:numCache>
                <c:formatCode>#,##0.0;[Red]\-#,##0.0</c:formatCode>
                <c:ptCount val="52"/>
                <c:pt idx="0">
                  <c:v>2866.8</c:v>
                </c:pt>
                <c:pt idx="1">
                  <c:v>2389</c:v>
                </c:pt>
                <c:pt idx="2">
                  <c:v>2173.9900000000002</c:v>
                </c:pt>
                <c:pt idx="3">
                  <c:v>2651.79</c:v>
                </c:pt>
                <c:pt idx="4">
                  <c:v>3440.1600000000003</c:v>
                </c:pt>
                <c:pt idx="5">
                  <c:v>3153.4800000000005</c:v>
                </c:pt>
                <c:pt idx="6">
                  <c:v>5040.7900000000009</c:v>
                </c:pt>
                <c:pt idx="7">
                  <c:v>4634.66</c:v>
                </c:pt>
                <c:pt idx="8">
                  <c:v>4586.88</c:v>
                </c:pt>
                <c:pt idx="9">
                  <c:v>5829.16</c:v>
                </c:pt>
                <c:pt idx="10">
                  <c:v>4156.8599999999997</c:v>
                </c:pt>
                <c:pt idx="11">
                  <c:v>3846.2900000000009</c:v>
                </c:pt>
                <c:pt idx="12">
                  <c:v>6904.2100000000009</c:v>
                </c:pt>
                <c:pt idx="13">
                  <c:v>2866.8</c:v>
                </c:pt>
                <c:pt idx="14">
                  <c:v>2389</c:v>
                </c:pt>
                <c:pt idx="15">
                  <c:v>2173.9900000000002</c:v>
                </c:pt>
                <c:pt idx="16">
                  <c:v>2651.79</c:v>
                </c:pt>
                <c:pt idx="17">
                  <c:v>3440.1600000000003</c:v>
                </c:pt>
                <c:pt idx="18">
                  <c:v>3153.4800000000005</c:v>
                </c:pt>
                <c:pt idx="19">
                  <c:v>5040.7900000000009</c:v>
                </c:pt>
                <c:pt idx="20">
                  <c:v>4634.66</c:v>
                </c:pt>
                <c:pt idx="21">
                  <c:v>4586.88</c:v>
                </c:pt>
                <c:pt idx="22">
                  <c:v>5829.16</c:v>
                </c:pt>
                <c:pt idx="23">
                  <c:v>4156.8599999999997</c:v>
                </c:pt>
                <c:pt idx="24">
                  <c:v>3846.2900000000009</c:v>
                </c:pt>
                <c:pt idx="25">
                  <c:v>6904.2100000000009</c:v>
                </c:pt>
                <c:pt idx="26">
                  <c:v>2866.8</c:v>
                </c:pt>
                <c:pt idx="27">
                  <c:v>2389</c:v>
                </c:pt>
                <c:pt idx="28">
                  <c:v>2173.9900000000002</c:v>
                </c:pt>
                <c:pt idx="29">
                  <c:v>2651.79</c:v>
                </c:pt>
                <c:pt idx="30">
                  <c:v>3440.1600000000003</c:v>
                </c:pt>
                <c:pt idx="31">
                  <c:v>3153.4800000000005</c:v>
                </c:pt>
                <c:pt idx="32">
                  <c:v>5040.7900000000009</c:v>
                </c:pt>
                <c:pt idx="33">
                  <c:v>4634.66</c:v>
                </c:pt>
                <c:pt idx="34">
                  <c:v>4586.88</c:v>
                </c:pt>
                <c:pt idx="35">
                  <c:v>5829.16</c:v>
                </c:pt>
                <c:pt idx="36">
                  <c:v>4156.8599999999997</c:v>
                </c:pt>
                <c:pt idx="37">
                  <c:v>3846.2900000000009</c:v>
                </c:pt>
                <c:pt idx="38">
                  <c:v>6904.2100000000009</c:v>
                </c:pt>
                <c:pt idx="39">
                  <c:v>2866.8</c:v>
                </c:pt>
                <c:pt idx="40">
                  <c:v>2389</c:v>
                </c:pt>
                <c:pt idx="41">
                  <c:v>2173.9900000000002</c:v>
                </c:pt>
                <c:pt idx="42">
                  <c:v>2651.79</c:v>
                </c:pt>
                <c:pt idx="43">
                  <c:v>3440.1600000000003</c:v>
                </c:pt>
                <c:pt idx="44">
                  <c:v>3153.4800000000005</c:v>
                </c:pt>
                <c:pt idx="45">
                  <c:v>5040.7900000000009</c:v>
                </c:pt>
                <c:pt idx="46">
                  <c:v>4634.66</c:v>
                </c:pt>
                <c:pt idx="47">
                  <c:v>4586.88</c:v>
                </c:pt>
                <c:pt idx="48">
                  <c:v>5829.16</c:v>
                </c:pt>
                <c:pt idx="49">
                  <c:v>4156.8599999999997</c:v>
                </c:pt>
                <c:pt idx="50">
                  <c:v>3846.2900000000009</c:v>
                </c:pt>
                <c:pt idx="51">
                  <c:v>6904.2100000000009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A-44B7-B322-AC376FBA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Rawdata!$G$106:$G$156</c:f>
              <c:numCache>
                <c:formatCode>0.00</c:formatCode>
                <c:ptCount val="51"/>
                <c:pt idx="0">
                  <c:v>1.0120336488354249</c:v>
                </c:pt>
                <c:pt idx="1">
                  <c:v>0.16331184615092131</c:v>
                </c:pt>
                <c:pt idx="2">
                  <c:v>0.34375701431582983</c:v>
                </c:pt>
                <c:pt idx="3">
                  <c:v>0.47499211019020932</c:v>
                </c:pt>
                <c:pt idx="4">
                  <c:v>0.24852483513457324</c:v>
                </c:pt>
                <c:pt idx="5">
                  <c:v>0.76301081533890791</c:v>
                </c:pt>
                <c:pt idx="6">
                  <c:v>-0.7017952855267332</c:v>
                </c:pt>
                <c:pt idx="7">
                  <c:v>0.41884095848151731</c:v>
                </c:pt>
                <c:pt idx="8">
                  <c:v>0.39124106770956169</c:v>
                </c:pt>
                <c:pt idx="9">
                  <c:v>-0.23571123960552778</c:v>
                </c:pt>
                <c:pt idx="10">
                  <c:v>-0.40801808370974796</c:v>
                </c:pt>
                <c:pt idx="11">
                  <c:v>-0.40725100004031195</c:v>
                </c:pt>
                <c:pt idx="12">
                  <c:v>-0.65289952019757891</c:v>
                </c:pt>
                <c:pt idx="13">
                  <c:v>0.99643835726903418</c:v>
                </c:pt>
                <c:pt idx="14">
                  <c:v>0.20521894086070153</c:v>
                </c:pt>
                <c:pt idx="15">
                  <c:v>0.3737841945000635</c:v>
                </c:pt>
                <c:pt idx="16">
                  <c:v>0.49451373155932193</c:v>
                </c:pt>
                <c:pt idx="17">
                  <c:v>0.21206411656496871</c:v>
                </c:pt>
                <c:pt idx="18">
                  <c:v>0.54014505955087289</c:v>
                </c:pt>
                <c:pt idx="19">
                  <c:v>-0.72275134597296731</c:v>
                </c:pt>
                <c:pt idx="20">
                  <c:v>0.42898755535039679</c:v>
                </c:pt>
                <c:pt idx="21">
                  <c:v>0.39471518871730649</c:v>
                </c:pt>
                <c:pt idx="22">
                  <c:v>-0.26435818790973747</c:v>
                </c:pt>
                <c:pt idx="23">
                  <c:v>-0.15074805714180584</c:v>
                </c:pt>
                <c:pt idx="24">
                  <c:v>-0.43239058440440825</c:v>
                </c:pt>
                <c:pt idx="25">
                  <c:v>-0.45103762864283997</c:v>
                </c:pt>
                <c:pt idx="26">
                  <c:v>0.59034580596380404</c:v>
                </c:pt>
                <c:pt idx="27">
                  <c:v>-0.21282961751835627</c:v>
                </c:pt>
                <c:pt idx="28">
                  <c:v>0.19144656103178112</c:v>
                </c:pt>
                <c:pt idx="29">
                  <c:v>0.28029178946778599</c:v>
                </c:pt>
                <c:pt idx="30">
                  <c:v>2.2067887152523124E-2</c:v>
                </c:pt>
                <c:pt idx="31">
                  <c:v>0.59416178075821702</c:v>
                </c:pt>
                <c:pt idx="32">
                  <c:v>-0.95342572030695305</c:v>
                </c:pt>
                <c:pt idx="33">
                  <c:v>0.15025753850005311</c:v>
                </c:pt>
                <c:pt idx="34">
                  <c:v>9.1655249453097873E-2</c:v>
                </c:pt>
                <c:pt idx="35">
                  <c:v>-0.58926575997697872</c:v>
                </c:pt>
                <c:pt idx="36">
                  <c:v>-0.8129941005265453</c:v>
                </c:pt>
                <c:pt idx="37">
                  <c:v>-1.0904920954681663</c:v>
                </c:pt>
                <c:pt idx="38">
                  <c:v>-1.0844956924088625</c:v>
                </c:pt>
                <c:pt idx="39">
                  <c:v>0.64916898870050088</c:v>
                </c:pt>
                <c:pt idx="40">
                  <c:v>-0.165314543483987</c:v>
                </c:pt>
                <c:pt idx="41">
                  <c:v>0.28827632871425685</c:v>
                </c:pt>
                <c:pt idx="42">
                  <c:v>0.19899130772169521</c:v>
                </c:pt>
                <c:pt idx="43">
                  <c:v>-4.3254003232440177E-2</c:v>
                </c:pt>
                <c:pt idx="44">
                  <c:v>0.65542238743676884</c:v>
                </c:pt>
                <c:pt idx="45">
                  <c:v>-0.96575467534364889</c:v>
                </c:pt>
                <c:pt idx="46">
                  <c:v>2.5572973288053476E-2</c:v>
                </c:pt>
                <c:pt idx="47">
                  <c:v>8.6010292461901589E-2</c:v>
                </c:pt>
                <c:pt idx="48">
                  <c:v>-0.62279735693847926</c:v>
                </c:pt>
                <c:pt idx="49">
                  <c:v>-0.88018186119375708</c:v>
                </c:pt>
                <c:pt idx="50">
                  <c:v>-0.88151393552824431</c:v>
                </c:pt>
              </c:numCache>
            </c:numRef>
          </c:xVal>
          <c:yVal>
            <c:numRef>
              <c:f>Rawdata!$I$106:$I$156</c:f>
              <c:numCache>
                <c:formatCode>#,##0.0;[Red]\-#,##0.0</c:formatCode>
                <c:ptCount val="51"/>
                <c:pt idx="0">
                  <c:v>358.35</c:v>
                </c:pt>
                <c:pt idx="1">
                  <c:v>979.4899999999999</c:v>
                </c:pt>
                <c:pt idx="2">
                  <c:v>645.03</c:v>
                </c:pt>
                <c:pt idx="3">
                  <c:v>1027.27</c:v>
                </c:pt>
                <c:pt idx="4">
                  <c:v>2795.13</c:v>
                </c:pt>
                <c:pt idx="5">
                  <c:v>1242.28</c:v>
                </c:pt>
                <c:pt idx="6">
                  <c:v>2604.0100000000002</c:v>
                </c:pt>
                <c:pt idx="7">
                  <c:v>2102.3200000000002</c:v>
                </c:pt>
                <c:pt idx="8">
                  <c:v>1361.73</c:v>
                </c:pt>
                <c:pt idx="9">
                  <c:v>3057.92</c:v>
                </c:pt>
                <c:pt idx="10">
                  <c:v>3655.17</c:v>
                </c:pt>
                <c:pt idx="11">
                  <c:v>4443.5400000000009</c:v>
                </c:pt>
                <c:pt idx="12">
                  <c:v>5016.8999999999996</c:v>
                </c:pt>
                <c:pt idx="13">
                  <c:v>358.35</c:v>
                </c:pt>
                <c:pt idx="14">
                  <c:v>979.4899999999999</c:v>
                </c:pt>
                <c:pt idx="15">
                  <c:v>645.03</c:v>
                </c:pt>
                <c:pt idx="16">
                  <c:v>1027.27</c:v>
                </c:pt>
                <c:pt idx="17">
                  <c:v>2795.13</c:v>
                </c:pt>
                <c:pt idx="18">
                  <c:v>1242.28</c:v>
                </c:pt>
                <c:pt idx="19">
                  <c:v>2604.0100000000002</c:v>
                </c:pt>
                <c:pt idx="20">
                  <c:v>2102.3200000000002</c:v>
                </c:pt>
                <c:pt idx="21">
                  <c:v>1361.73</c:v>
                </c:pt>
                <c:pt idx="22">
                  <c:v>3057.92</c:v>
                </c:pt>
                <c:pt idx="23">
                  <c:v>3655.17</c:v>
                </c:pt>
                <c:pt idx="24">
                  <c:v>4443.5400000000009</c:v>
                </c:pt>
                <c:pt idx="25">
                  <c:v>5016.8999999999996</c:v>
                </c:pt>
                <c:pt idx="26">
                  <c:v>358.35</c:v>
                </c:pt>
                <c:pt idx="27">
                  <c:v>979.4899999999999</c:v>
                </c:pt>
                <c:pt idx="28">
                  <c:v>645.03</c:v>
                </c:pt>
                <c:pt idx="29">
                  <c:v>1027.27</c:v>
                </c:pt>
                <c:pt idx="30">
                  <c:v>2795.13</c:v>
                </c:pt>
                <c:pt idx="31">
                  <c:v>1242.28</c:v>
                </c:pt>
                <c:pt idx="32">
                  <c:v>2604.0100000000002</c:v>
                </c:pt>
                <c:pt idx="33">
                  <c:v>2102.3200000000002</c:v>
                </c:pt>
                <c:pt idx="34">
                  <c:v>1361.73</c:v>
                </c:pt>
                <c:pt idx="35">
                  <c:v>3057.92</c:v>
                </c:pt>
                <c:pt idx="36">
                  <c:v>3655.17</c:v>
                </c:pt>
                <c:pt idx="37">
                  <c:v>4443.5400000000009</c:v>
                </c:pt>
                <c:pt idx="38">
                  <c:v>5016.8999999999996</c:v>
                </c:pt>
                <c:pt idx="39">
                  <c:v>358.35</c:v>
                </c:pt>
                <c:pt idx="40">
                  <c:v>979.4899999999999</c:v>
                </c:pt>
                <c:pt idx="41">
                  <c:v>645.03</c:v>
                </c:pt>
                <c:pt idx="42">
                  <c:v>1027.27</c:v>
                </c:pt>
                <c:pt idx="43">
                  <c:v>2795.13</c:v>
                </c:pt>
                <c:pt idx="44">
                  <c:v>1242.28</c:v>
                </c:pt>
                <c:pt idx="45">
                  <c:v>2604.0100000000002</c:v>
                </c:pt>
                <c:pt idx="46">
                  <c:v>2102.3200000000002</c:v>
                </c:pt>
                <c:pt idx="47">
                  <c:v>1361.73</c:v>
                </c:pt>
                <c:pt idx="48">
                  <c:v>3057.92</c:v>
                </c:pt>
                <c:pt idx="49">
                  <c:v>3655.17</c:v>
                </c:pt>
                <c:pt idx="50">
                  <c:v>4443.5400000000009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B-4FB3-A9B7-DDADA46A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Rawdata!$G$158:$G$209</c:f>
              <c:numCache>
                <c:formatCode>0.00</c:formatCode>
                <c:ptCount val="52"/>
                <c:pt idx="0">
                  <c:v>-3.8345944192078374</c:v>
                </c:pt>
                <c:pt idx="1">
                  <c:v>-3.7408163814302164</c:v>
                </c:pt>
                <c:pt idx="2">
                  <c:v>-3.0743277857159232</c:v>
                </c:pt>
                <c:pt idx="3">
                  <c:v>-3.3539223462901004</c:v>
                </c:pt>
                <c:pt idx="4">
                  <c:v>-3.0146414935448775</c:v>
                </c:pt>
                <c:pt idx="5">
                  <c:v>-3.0763876909776808</c:v>
                </c:pt>
                <c:pt idx="6">
                  <c:v>-2.6477143888570414</c:v>
                </c:pt>
                <c:pt idx="7">
                  <c:v>-1.8027120919071884</c:v>
                </c:pt>
                <c:pt idx="8">
                  <c:v>-3.2129727149190805</c:v>
                </c:pt>
                <c:pt idx="9">
                  <c:v>-3.8944741231397466</c:v>
                </c:pt>
                <c:pt idx="10">
                  <c:v>-4.1915732669352668</c:v>
                </c:pt>
                <c:pt idx="11">
                  <c:v>-4.0141798586962718</c:v>
                </c:pt>
                <c:pt idx="12">
                  <c:v>-2.9335990426302674</c:v>
                </c:pt>
                <c:pt idx="13">
                  <c:v>-3.8303236857646312</c:v>
                </c:pt>
                <c:pt idx="14">
                  <c:v>-4.2163983776292486</c:v>
                </c:pt>
                <c:pt idx="15">
                  <c:v>-3.8576783644449546</c:v>
                </c:pt>
                <c:pt idx="16">
                  <c:v>-3.8198010354028442</c:v>
                </c:pt>
                <c:pt idx="17">
                  <c:v>-3.3408036920107764</c:v>
                </c:pt>
                <c:pt idx="18">
                  <c:v>-3.3696021030466046</c:v>
                </c:pt>
                <c:pt idx="19">
                  <c:v>-3.1314765185049565</c:v>
                </c:pt>
                <c:pt idx="20">
                  <c:v>-1.6640949181718319</c:v>
                </c:pt>
                <c:pt idx="21">
                  <c:v>-4.0343489189869084</c:v>
                </c:pt>
                <c:pt idx="22">
                  <c:v>-4.6323549460976272</c:v>
                </c:pt>
                <c:pt idx="23">
                  <c:v>-4.480806930078467</c:v>
                </c:pt>
                <c:pt idx="24">
                  <c:v>-3.8292694022609455</c:v>
                </c:pt>
                <c:pt idx="25">
                  <c:v>-2.9587925884211699</c:v>
                </c:pt>
                <c:pt idx="26">
                  <c:v>-3.9065290369643701</c:v>
                </c:pt>
                <c:pt idx="27">
                  <c:v>-4.1777906415806356</c:v>
                </c:pt>
                <c:pt idx="28">
                  <c:v>-4.3375809340014193</c:v>
                </c:pt>
                <c:pt idx="29">
                  <c:v>-3.7503777787145003</c:v>
                </c:pt>
                <c:pt idx="30">
                  <c:v>-2.7699938171743979</c:v>
                </c:pt>
                <c:pt idx="31">
                  <c:v>-3.3873039839988537</c:v>
                </c:pt>
                <c:pt idx="32">
                  <c:v>-3.6841767721855923</c:v>
                </c:pt>
                <c:pt idx="33">
                  <c:v>-1.9490969090054149</c:v>
                </c:pt>
                <c:pt idx="34">
                  <c:v>-3.7642641489525368</c:v>
                </c:pt>
                <c:pt idx="35">
                  <c:v>-4.0237333690225654</c:v>
                </c:pt>
                <c:pt idx="36">
                  <c:v>-4.1273981839263554</c:v>
                </c:pt>
                <c:pt idx="37">
                  <c:v>-3.6863713675242784</c:v>
                </c:pt>
                <c:pt idx="38">
                  <c:v>-3.7283443049552085</c:v>
                </c:pt>
                <c:pt idx="39">
                  <c:v>-3.8930233699109245</c:v>
                </c:pt>
                <c:pt idx="40">
                  <c:v>-4.3181727040534632</c:v>
                </c:pt>
                <c:pt idx="41">
                  <c:v>-4.1025133707356378</c:v>
                </c:pt>
                <c:pt idx="42">
                  <c:v>-3.5722483970883467</c:v>
                </c:pt>
                <c:pt idx="43">
                  <c:v>-3.3191389697404921</c:v>
                </c:pt>
                <c:pt idx="44">
                  <c:v>-3.6479101100652436</c:v>
                </c:pt>
                <c:pt idx="45">
                  <c:v>-3.4663841434706675</c:v>
                </c:pt>
                <c:pt idx="46">
                  <c:v>-1.682583796391663</c:v>
                </c:pt>
                <c:pt idx="47">
                  <c:v>-3.9528853159103599</c:v>
                </c:pt>
                <c:pt idx="48">
                  <c:v>-3.9298853602674244</c:v>
                </c:pt>
                <c:pt idx="49">
                  <c:v>-4.9797980961974542</c:v>
                </c:pt>
                <c:pt idx="50">
                  <c:v>-3.8948731293122179</c:v>
                </c:pt>
                <c:pt idx="51">
                  <c:v>-3.6492925139606083</c:v>
                </c:pt>
              </c:numCache>
            </c:numRef>
          </c:xVal>
          <c:yVal>
            <c:numRef>
              <c:f>Rawdata!$I$158:$I$209</c:f>
              <c:numCache>
                <c:formatCode>#,##0.0;[Red]\-#,##0.0</c:formatCode>
                <c:ptCount val="52"/>
                <c:pt idx="0">
                  <c:v>4945.2299999999996</c:v>
                </c:pt>
                <c:pt idx="1">
                  <c:v>6139.7300000000005</c:v>
                </c:pt>
                <c:pt idx="2">
                  <c:v>5638.0400000000009</c:v>
                </c:pt>
                <c:pt idx="3">
                  <c:v>4778</c:v>
                </c:pt>
                <c:pt idx="4">
                  <c:v>5590.26</c:v>
                </c:pt>
                <c:pt idx="5">
                  <c:v>4300.2000000000007</c:v>
                </c:pt>
                <c:pt idx="6">
                  <c:v>4371.87</c:v>
                </c:pt>
                <c:pt idx="7">
                  <c:v>3177.37</c:v>
                </c:pt>
                <c:pt idx="8">
                  <c:v>5781.38</c:v>
                </c:pt>
                <c:pt idx="9">
                  <c:v>7979.26</c:v>
                </c:pt>
                <c:pt idx="10">
                  <c:v>8815.41</c:v>
                </c:pt>
                <c:pt idx="11">
                  <c:v>8218.16</c:v>
                </c:pt>
                <c:pt idx="12">
                  <c:v>6856.43</c:v>
                </c:pt>
                <c:pt idx="13">
                  <c:v>4945.2299999999996</c:v>
                </c:pt>
                <c:pt idx="14">
                  <c:v>6139.7300000000005</c:v>
                </c:pt>
                <c:pt idx="15">
                  <c:v>5638.0400000000009</c:v>
                </c:pt>
                <c:pt idx="16">
                  <c:v>4778</c:v>
                </c:pt>
                <c:pt idx="17">
                  <c:v>5590.26</c:v>
                </c:pt>
                <c:pt idx="18">
                  <c:v>4300.2000000000007</c:v>
                </c:pt>
                <c:pt idx="19">
                  <c:v>4371.87</c:v>
                </c:pt>
                <c:pt idx="20">
                  <c:v>3177.37</c:v>
                </c:pt>
                <c:pt idx="21">
                  <c:v>5781.38</c:v>
                </c:pt>
                <c:pt idx="22">
                  <c:v>7979.26</c:v>
                </c:pt>
                <c:pt idx="23">
                  <c:v>8815.41</c:v>
                </c:pt>
                <c:pt idx="24">
                  <c:v>8218.16</c:v>
                </c:pt>
                <c:pt idx="25">
                  <c:v>6856.43</c:v>
                </c:pt>
                <c:pt idx="26">
                  <c:v>4945.2299999999996</c:v>
                </c:pt>
                <c:pt idx="27">
                  <c:v>6139.7300000000005</c:v>
                </c:pt>
                <c:pt idx="28">
                  <c:v>5638.0400000000009</c:v>
                </c:pt>
                <c:pt idx="29">
                  <c:v>4778</c:v>
                </c:pt>
                <c:pt idx="30">
                  <c:v>5590.26</c:v>
                </c:pt>
                <c:pt idx="31">
                  <c:v>4300.2000000000007</c:v>
                </c:pt>
                <c:pt idx="32">
                  <c:v>4371.87</c:v>
                </c:pt>
                <c:pt idx="33">
                  <c:v>3177.37</c:v>
                </c:pt>
                <c:pt idx="34">
                  <c:v>5781.38</c:v>
                </c:pt>
                <c:pt idx="35">
                  <c:v>7979.26</c:v>
                </c:pt>
                <c:pt idx="36">
                  <c:v>8815.41</c:v>
                </c:pt>
                <c:pt idx="37">
                  <c:v>8218.16</c:v>
                </c:pt>
                <c:pt idx="38">
                  <c:v>6856.43</c:v>
                </c:pt>
                <c:pt idx="39">
                  <c:v>4945.2299999999996</c:v>
                </c:pt>
                <c:pt idx="40">
                  <c:v>6139.7300000000005</c:v>
                </c:pt>
                <c:pt idx="41">
                  <c:v>5638.0400000000009</c:v>
                </c:pt>
                <c:pt idx="42">
                  <c:v>4778</c:v>
                </c:pt>
                <c:pt idx="43">
                  <c:v>5590.26</c:v>
                </c:pt>
                <c:pt idx="44">
                  <c:v>4300.2000000000007</c:v>
                </c:pt>
                <c:pt idx="45">
                  <c:v>4371.87</c:v>
                </c:pt>
                <c:pt idx="46">
                  <c:v>3177.37</c:v>
                </c:pt>
                <c:pt idx="47">
                  <c:v>5781.38</c:v>
                </c:pt>
                <c:pt idx="48">
                  <c:v>7979.26</c:v>
                </c:pt>
                <c:pt idx="49">
                  <c:v>8815.41</c:v>
                </c:pt>
                <c:pt idx="50">
                  <c:v>8218.16</c:v>
                </c:pt>
                <c:pt idx="51">
                  <c:v>6856.43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7-436F-BFCF-A0C04C1EF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Rawdata!$G$210:$G$261</c:f>
              <c:numCache>
                <c:formatCode>0.00</c:formatCode>
                <c:ptCount val="52"/>
                <c:pt idx="0">
                  <c:v>-2.8210668874745548</c:v>
                </c:pt>
                <c:pt idx="1">
                  <c:v>-3.6176597216312456</c:v>
                </c:pt>
                <c:pt idx="2">
                  <c:v>-3.7072052860656735</c:v>
                </c:pt>
                <c:pt idx="3">
                  <c:v>-3.3451804440715853</c:v>
                </c:pt>
                <c:pt idx="4">
                  <c:v>-3.371293159745274</c:v>
                </c:pt>
                <c:pt idx="5">
                  <c:v>-2.4582000916085112</c:v>
                </c:pt>
                <c:pt idx="6">
                  <c:v>-3.777844900999892</c:v>
                </c:pt>
                <c:pt idx="7">
                  <c:v>-7.0163015424983377E-2</c:v>
                </c:pt>
                <c:pt idx="8">
                  <c:v>-3.4968070902868482</c:v>
                </c:pt>
                <c:pt idx="9">
                  <c:v>-3.7054578370241988</c:v>
                </c:pt>
                <c:pt idx="10">
                  <c:v>-4.7043387555190845</c:v>
                </c:pt>
                <c:pt idx="11">
                  <c:v>-4.3788595694771804</c:v>
                </c:pt>
                <c:pt idx="12">
                  <c:v>-3.028424687175173</c:v>
                </c:pt>
                <c:pt idx="13">
                  <c:v>-2.6765622885586251</c:v>
                </c:pt>
                <c:pt idx="14">
                  <c:v>-3.0828671439361743</c:v>
                </c:pt>
                <c:pt idx="15">
                  <c:v>-2.9869496082412645</c:v>
                </c:pt>
                <c:pt idx="16">
                  <c:v>-3.0460483730090155</c:v>
                </c:pt>
                <c:pt idx="17">
                  <c:v>-3.2803517439144945</c:v>
                </c:pt>
                <c:pt idx="18">
                  <c:v>-2.3131063863785473</c:v>
                </c:pt>
                <c:pt idx="19">
                  <c:v>-3.4769571809567319</c:v>
                </c:pt>
                <c:pt idx="20">
                  <c:v>7.6004768430583264E-2</c:v>
                </c:pt>
                <c:pt idx="21">
                  <c:v>-2.9826410443439517</c:v>
                </c:pt>
                <c:pt idx="22">
                  <c:v>-3.0865721794820007</c:v>
                </c:pt>
                <c:pt idx="23">
                  <c:v>-3.0449093665685192</c:v>
                </c:pt>
                <c:pt idx="24">
                  <c:v>-3.5042695668019692</c:v>
                </c:pt>
                <c:pt idx="25">
                  <c:v>-3.3737459075361693</c:v>
                </c:pt>
                <c:pt idx="26">
                  <c:v>-2.7371613393652776</c:v>
                </c:pt>
                <c:pt idx="27">
                  <c:v>-3.4976903305286684</c:v>
                </c:pt>
                <c:pt idx="28">
                  <c:v>-3.3893937350309131</c:v>
                </c:pt>
                <c:pt idx="29">
                  <c:v>-3.0889533867128147</c:v>
                </c:pt>
                <c:pt idx="30">
                  <c:v>-3.2593204745295816</c:v>
                </c:pt>
                <c:pt idx="31">
                  <c:v>-2.4860169073485454</c:v>
                </c:pt>
                <c:pt idx="32">
                  <c:v>-3.9523184288017985</c:v>
                </c:pt>
                <c:pt idx="33">
                  <c:v>-0.37268882750607651</c:v>
                </c:pt>
                <c:pt idx="34">
                  <c:v>-3.3257015572662114</c:v>
                </c:pt>
                <c:pt idx="35">
                  <c:v>-3.5897997962206394</c:v>
                </c:pt>
                <c:pt idx="36">
                  <c:v>-3.7830121811219746</c:v>
                </c:pt>
                <c:pt idx="37">
                  <c:v>-3.7050013141888014</c:v>
                </c:pt>
                <c:pt idx="38">
                  <c:v>-3.9873522624908295</c:v>
                </c:pt>
                <c:pt idx="39">
                  <c:v>-2.7726208926140865</c:v>
                </c:pt>
                <c:pt idx="40">
                  <c:v>-3.5800099994915837</c:v>
                </c:pt>
                <c:pt idx="41">
                  <c:v>-3.6814423821865678</c:v>
                </c:pt>
                <c:pt idx="42">
                  <c:v>-3.7972420876907176</c:v>
                </c:pt>
                <c:pt idx="43">
                  <c:v>-3.4598293146669175</c:v>
                </c:pt>
                <c:pt idx="44">
                  <c:v>-2.441231358666605</c:v>
                </c:pt>
                <c:pt idx="45">
                  <c:v>-4.0916761090941218</c:v>
                </c:pt>
                <c:pt idx="46">
                  <c:v>-0.35851684145540391</c:v>
                </c:pt>
                <c:pt idx="47">
                  <c:v>-3.3948134529381022</c:v>
                </c:pt>
                <c:pt idx="48">
                  <c:v>-3.7040331324093696</c:v>
                </c:pt>
                <c:pt idx="49">
                  <c:v>-4.5236366322774328</c:v>
                </c:pt>
                <c:pt idx="50">
                  <c:v>-3.583122506339917</c:v>
                </c:pt>
                <c:pt idx="51">
                  <c:v>-3.9473832730105207</c:v>
                </c:pt>
              </c:numCache>
            </c:numRef>
          </c:xVal>
          <c:yVal>
            <c:numRef>
              <c:f>Rawdata!$I$210:$I$261</c:f>
              <c:numCache>
                <c:formatCode>#,##0.0;[Red]\-#,##0.0</c:formatCode>
                <c:ptCount val="52"/>
                <c:pt idx="0">
                  <c:v>1696.19</c:v>
                </c:pt>
                <c:pt idx="1">
                  <c:v>2914.58</c:v>
                </c:pt>
                <c:pt idx="2">
                  <c:v>2460.67</c:v>
                </c:pt>
                <c:pt idx="3">
                  <c:v>1958.9799999999998</c:v>
                </c:pt>
                <c:pt idx="4">
                  <c:v>3272.9300000000003</c:v>
                </c:pt>
                <c:pt idx="5">
                  <c:v>1576.7400000000002</c:v>
                </c:pt>
                <c:pt idx="6">
                  <c:v>2627.9</c:v>
                </c:pt>
                <c:pt idx="7">
                  <c:v>453.90999999999997</c:v>
                </c:pt>
                <c:pt idx="8">
                  <c:v>2532.34</c:v>
                </c:pt>
                <c:pt idx="9">
                  <c:v>5088.5700000000006</c:v>
                </c:pt>
                <c:pt idx="10">
                  <c:v>5542.48</c:v>
                </c:pt>
                <c:pt idx="11">
                  <c:v>5542.48</c:v>
                </c:pt>
                <c:pt idx="12">
                  <c:v>5518.59</c:v>
                </c:pt>
                <c:pt idx="13">
                  <c:v>1696.19</c:v>
                </c:pt>
                <c:pt idx="14">
                  <c:v>2914.58</c:v>
                </c:pt>
                <c:pt idx="15">
                  <c:v>2460.67</c:v>
                </c:pt>
                <c:pt idx="16">
                  <c:v>1958.9799999999998</c:v>
                </c:pt>
                <c:pt idx="17">
                  <c:v>3272.9300000000003</c:v>
                </c:pt>
                <c:pt idx="18">
                  <c:v>1576.7400000000002</c:v>
                </c:pt>
                <c:pt idx="19">
                  <c:v>2627.9</c:v>
                </c:pt>
                <c:pt idx="20">
                  <c:v>453.90999999999997</c:v>
                </c:pt>
                <c:pt idx="21">
                  <c:v>2532.34</c:v>
                </c:pt>
                <c:pt idx="22">
                  <c:v>5088.5700000000006</c:v>
                </c:pt>
                <c:pt idx="23">
                  <c:v>5542.48</c:v>
                </c:pt>
                <c:pt idx="24">
                  <c:v>5542.48</c:v>
                </c:pt>
                <c:pt idx="25">
                  <c:v>5518.59</c:v>
                </c:pt>
                <c:pt idx="26">
                  <c:v>1696.19</c:v>
                </c:pt>
                <c:pt idx="27">
                  <c:v>2914.58</c:v>
                </c:pt>
                <c:pt idx="28">
                  <c:v>2460.67</c:v>
                </c:pt>
                <c:pt idx="29">
                  <c:v>1958.9799999999998</c:v>
                </c:pt>
                <c:pt idx="30">
                  <c:v>3272.9300000000003</c:v>
                </c:pt>
                <c:pt idx="31">
                  <c:v>1576.7400000000002</c:v>
                </c:pt>
                <c:pt idx="32">
                  <c:v>2627.9</c:v>
                </c:pt>
                <c:pt idx="33">
                  <c:v>453.90999999999997</c:v>
                </c:pt>
                <c:pt idx="34">
                  <c:v>2532.34</c:v>
                </c:pt>
                <c:pt idx="35">
                  <c:v>5088.5700000000006</c:v>
                </c:pt>
                <c:pt idx="36">
                  <c:v>5542.48</c:v>
                </c:pt>
                <c:pt idx="37">
                  <c:v>5542.48</c:v>
                </c:pt>
                <c:pt idx="38">
                  <c:v>5518.59</c:v>
                </c:pt>
                <c:pt idx="39">
                  <c:v>1696.19</c:v>
                </c:pt>
                <c:pt idx="40">
                  <c:v>2914.58</c:v>
                </c:pt>
                <c:pt idx="41">
                  <c:v>2460.67</c:v>
                </c:pt>
                <c:pt idx="42">
                  <c:v>1958.9799999999998</c:v>
                </c:pt>
                <c:pt idx="43">
                  <c:v>3272.9300000000003</c:v>
                </c:pt>
                <c:pt idx="44">
                  <c:v>1576.7400000000002</c:v>
                </c:pt>
                <c:pt idx="45">
                  <c:v>2627.9</c:v>
                </c:pt>
                <c:pt idx="46">
                  <c:v>453.90999999999997</c:v>
                </c:pt>
                <c:pt idx="47">
                  <c:v>2532.34</c:v>
                </c:pt>
                <c:pt idx="48">
                  <c:v>5088.5700000000006</c:v>
                </c:pt>
                <c:pt idx="49">
                  <c:v>5542.48</c:v>
                </c:pt>
                <c:pt idx="50">
                  <c:v>5542.48</c:v>
                </c:pt>
                <c:pt idx="51">
                  <c:v>5518.59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46-4F11-9DF9-B9FF32311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Rawdata!$G$262:$G$313</c:f>
              <c:numCache>
                <c:formatCode>0.00</c:formatCode>
                <c:ptCount val="52"/>
                <c:pt idx="0">
                  <c:v>-3.1766714823869941</c:v>
                </c:pt>
                <c:pt idx="1">
                  <c:v>-4.2124231590190124</c:v>
                </c:pt>
                <c:pt idx="2">
                  <c:v>-4.2054201457393408</c:v>
                </c:pt>
                <c:pt idx="3">
                  <c:v>-3.8608831441057219</c:v>
                </c:pt>
                <c:pt idx="4">
                  <c:v>-3.5190243890886697</c:v>
                </c:pt>
                <c:pt idx="5">
                  <c:v>-3.5061052660602847</c:v>
                </c:pt>
                <c:pt idx="6">
                  <c:v>-3.7821233983861515</c:v>
                </c:pt>
                <c:pt idx="7">
                  <c:v>-1.9088025944129754</c:v>
                </c:pt>
                <c:pt idx="8">
                  <c:v>-3.7222346167088882</c:v>
                </c:pt>
                <c:pt idx="9">
                  <c:v>-4.2433551010049788</c:v>
                </c:pt>
                <c:pt idx="10">
                  <c:v>-4.1372612775815272</c:v>
                </c:pt>
                <c:pt idx="11">
                  <c:v>-4.0648473557735834</c:v>
                </c:pt>
                <c:pt idx="12">
                  <c:v>-4.1348829504718969</c:v>
                </c:pt>
                <c:pt idx="13">
                  <c:v>-3.1275876432402301</c:v>
                </c:pt>
                <c:pt idx="14">
                  <c:v>-3.8756175890613802</c:v>
                </c:pt>
                <c:pt idx="15">
                  <c:v>-3.4710670120411207</c:v>
                </c:pt>
                <c:pt idx="16">
                  <c:v>-3.6731192955773686</c:v>
                </c:pt>
                <c:pt idx="17">
                  <c:v>-3.0582714569216147</c:v>
                </c:pt>
                <c:pt idx="18">
                  <c:v>-3.1664480110851638</c:v>
                </c:pt>
                <c:pt idx="19">
                  <c:v>-3.9681548100646999</c:v>
                </c:pt>
                <c:pt idx="20">
                  <c:v>-1.8300217165598611</c:v>
                </c:pt>
                <c:pt idx="21">
                  <c:v>-3.6484261231923267</c:v>
                </c:pt>
                <c:pt idx="22">
                  <c:v>-3.6904582633183005</c:v>
                </c:pt>
                <c:pt idx="23">
                  <c:v>-4.1595339131906499</c:v>
                </c:pt>
                <c:pt idx="24">
                  <c:v>-3.6903343846000709</c:v>
                </c:pt>
                <c:pt idx="25">
                  <c:v>-3.3884037388345529</c:v>
                </c:pt>
                <c:pt idx="26">
                  <c:v>-3.3378986709144716</c:v>
                </c:pt>
                <c:pt idx="27">
                  <c:v>-3.6457312822255563</c:v>
                </c:pt>
                <c:pt idx="28">
                  <c:v>-3.7604881801972403</c:v>
                </c:pt>
                <c:pt idx="29">
                  <c:v>-3.497012799186848</c:v>
                </c:pt>
                <c:pt idx="30">
                  <c:v>-3.4939764502194977</c:v>
                </c:pt>
                <c:pt idx="31">
                  <c:v>-2.3255182533433305</c:v>
                </c:pt>
                <c:pt idx="32">
                  <c:v>-3.8458956309850989</c:v>
                </c:pt>
                <c:pt idx="33">
                  <c:v>-1.6250402656639806</c:v>
                </c:pt>
                <c:pt idx="34">
                  <c:v>-3.3810370637428693</c:v>
                </c:pt>
                <c:pt idx="35">
                  <c:v>-3.5784346025402352</c:v>
                </c:pt>
                <c:pt idx="36">
                  <c:v>-3.7495744154946467</c:v>
                </c:pt>
                <c:pt idx="37">
                  <c:v>-3.4424820790362882</c:v>
                </c:pt>
                <c:pt idx="38">
                  <c:v>-3.7197972443767502</c:v>
                </c:pt>
                <c:pt idx="39">
                  <c:v>-3.8443177568456393</c:v>
                </c:pt>
                <c:pt idx="40">
                  <c:v>-4.006462565482817</c:v>
                </c:pt>
                <c:pt idx="41">
                  <c:v>-4.0370065471842445</c:v>
                </c:pt>
                <c:pt idx="42">
                  <c:v>-3.8810446606435627</c:v>
                </c:pt>
                <c:pt idx="43">
                  <c:v>-4.2495591017202354</c:v>
                </c:pt>
                <c:pt idx="44">
                  <c:v>-3.533845256026765</c:v>
                </c:pt>
                <c:pt idx="45">
                  <c:v>-4.7348323037255504</c:v>
                </c:pt>
                <c:pt idx="46">
                  <c:v>-1.6871504676854356</c:v>
                </c:pt>
                <c:pt idx="47">
                  <c:v>-3.9560099428967557</c:v>
                </c:pt>
                <c:pt idx="48">
                  <c:v>-3.9431781732079414</c:v>
                </c:pt>
                <c:pt idx="49">
                  <c:v>-4.306018854815564</c:v>
                </c:pt>
                <c:pt idx="50">
                  <c:v>-4.0183054661982087</c:v>
                </c:pt>
                <c:pt idx="51">
                  <c:v>-4.7525421080572343</c:v>
                </c:pt>
              </c:numCache>
            </c:numRef>
          </c:xVal>
          <c:yVal>
            <c:numRef>
              <c:f>Rawdata!$I$262:$I$313</c:f>
              <c:numCache>
                <c:formatCode>#,##0.0;[Red]\-#,##0.0</c:formatCode>
                <c:ptCount val="52"/>
                <c:pt idx="0">
                  <c:v>3272.9300000000003</c:v>
                </c:pt>
                <c:pt idx="1">
                  <c:v>4467.43</c:v>
                </c:pt>
                <c:pt idx="2">
                  <c:v>3917.9599999999996</c:v>
                </c:pt>
                <c:pt idx="3">
                  <c:v>3440.1600000000003</c:v>
                </c:pt>
                <c:pt idx="4">
                  <c:v>4730.22</c:v>
                </c:pt>
                <c:pt idx="5">
                  <c:v>3057.92</c:v>
                </c:pt>
                <c:pt idx="6">
                  <c:v>4109.08</c:v>
                </c:pt>
                <c:pt idx="7">
                  <c:v>1505.0700000000002</c:v>
                </c:pt>
                <c:pt idx="8">
                  <c:v>4109.08</c:v>
                </c:pt>
                <c:pt idx="9">
                  <c:v>4467.43</c:v>
                </c:pt>
                <c:pt idx="10">
                  <c:v>7095.3300000000008</c:v>
                </c:pt>
                <c:pt idx="11">
                  <c:v>7238.67</c:v>
                </c:pt>
                <c:pt idx="12">
                  <c:v>7047.55</c:v>
                </c:pt>
                <c:pt idx="13">
                  <c:v>3272.9300000000003</c:v>
                </c:pt>
                <c:pt idx="14">
                  <c:v>4467.43</c:v>
                </c:pt>
                <c:pt idx="15">
                  <c:v>3917.9599999999996</c:v>
                </c:pt>
                <c:pt idx="16">
                  <c:v>3440.1600000000003</c:v>
                </c:pt>
                <c:pt idx="17">
                  <c:v>4730.22</c:v>
                </c:pt>
                <c:pt idx="18">
                  <c:v>3057.92</c:v>
                </c:pt>
                <c:pt idx="19">
                  <c:v>4109.08</c:v>
                </c:pt>
                <c:pt idx="20">
                  <c:v>1505.0700000000002</c:v>
                </c:pt>
                <c:pt idx="21">
                  <c:v>4109.08</c:v>
                </c:pt>
                <c:pt idx="22">
                  <c:v>4467.43</c:v>
                </c:pt>
                <c:pt idx="23">
                  <c:v>7095.3300000000008</c:v>
                </c:pt>
                <c:pt idx="24">
                  <c:v>7238.67</c:v>
                </c:pt>
                <c:pt idx="25">
                  <c:v>7047.55</c:v>
                </c:pt>
                <c:pt idx="26">
                  <c:v>3272.9300000000003</c:v>
                </c:pt>
                <c:pt idx="27">
                  <c:v>4467.43</c:v>
                </c:pt>
                <c:pt idx="28">
                  <c:v>3917.9599999999996</c:v>
                </c:pt>
                <c:pt idx="29">
                  <c:v>3440.1600000000003</c:v>
                </c:pt>
                <c:pt idx="30">
                  <c:v>4730.22</c:v>
                </c:pt>
                <c:pt idx="31">
                  <c:v>3057.92</c:v>
                </c:pt>
                <c:pt idx="32">
                  <c:v>4109.08</c:v>
                </c:pt>
                <c:pt idx="33">
                  <c:v>1505.0700000000002</c:v>
                </c:pt>
                <c:pt idx="34">
                  <c:v>4109.08</c:v>
                </c:pt>
                <c:pt idx="35">
                  <c:v>4467.43</c:v>
                </c:pt>
                <c:pt idx="36">
                  <c:v>7095.3300000000008</c:v>
                </c:pt>
                <c:pt idx="37">
                  <c:v>7238.67</c:v>
                </c:pt>
                <c:pt idx="38">
                  <c:v>7047.55</c:v>
                </c:pt>
                <c:pt idx="39">
                  <c:v>3272.9300000000003</c:v>
                </c:pt>
                <c:pt idx="40">
                  <c:v>4467.43</c:v>
                </c:pt>
                <c:pt idx="41">
                  <c:v>3917.9599999999996</c:v>
                </c:pt>
                <c:pt idx="42">
                  <c:v>3440.1600000000003</c:v>
                </c:pt>
                <c:pt idx="43">
                  <c:v>4730.22</c:v>
                </c:pt>
                <c:pt idx="44">
                  <c:v>3057.92</c:v>
                </c:pt>
                <c:pt idx="45">
                  <c:v>4109.08</c:v>
                </c:pt>
                <c:pt idx="46">
                  <c:v>1505.0700000000002</c:v>
                </c:pt>
                <c:pt idx="47">
                  <c:v>4109.08</c:v>
                </c:pt>
                <c:pt idx="48">
                  <c:v>4467.43</c:v>
                </c:pt>
                <c:pt idx="49">
                  <c:v>7095.3300000000008</c:v>
                </c:pt>
                <c:pt idx="50">
                  <c:v>7238.67</c:v>
                </c:pt>
                <c:pt idx="51">
                  <c:v>7047.55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1-4C33-9F34-44B4A12ED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Rawdata!$G$314:$G$365</c:f>
              <c:numCache>
                <c:formatCode>0.00</c:formatCode>
                <c:ptCount val="52"/>
                <c:pt idx="0">
                  <c:v>-4.6278642340671503</c:v>
                </c:pt>
                <c:pt idx="1">
                  <c:v>-5.4356386540859738</c:v>
                </c:pt>
                <c:pt idx="2">
                  <c:v>-5.4492539220397767</c:v>
                </c:pt>
                <c:pt idx="3">
                  <c:v>-6.5432511721257871</c:v>
                </c:pt>
                <c:pt idx="4">
                  <c:v>-6.1236046895459042</c:v>
                </c:pt>
                <c:pt idx="5">
                  <c:v>-4.563434264669203</c:v>
                </c:pt>
                <c:pt idx="6">
                  <c:v>-6.9090788471236957</c:v>
                </c:pt>
                <c:pt idx="7">
                  <c:v>-1.6320970871113527</c:v>
                </c:pt>
                <c:pt idx="8">
                  <c:v>-5.5379057535442433</c:v>
                </c:pt>
                <c:pt idx="9">
                  <c:v>-7.1951452527024706</c:v>
                </c:pt>
                <c:pt idx="10">
                  <c:v>-7.7296298313146199</c:v>
                </c:pt>
                <c:pt idx="11">
                  <c:v>-5.8633668700593571</c:v>
                </c:pt>
                <c:pt idx="13">
                  <c:v>-4.9429300455137488</c:v>
                </c:pt>
                <c:pt idx="14">
                  <c:v>-5.6625561695577167</c:v>
                </c:pt>
                <c:pt idx="15">
                  <c:v>-5.4114162183326204</c:v>
                </c:pt>
                <c:pt idx="16">
                  <c:v>-5.7989746450432378</c:v>
                </c:pt>
                <c:pt idx="17">
                  <c:v>-6.9164512303289376</c:v>
                </c:pt>
                <c:pt idx="18">
                  <c:v>-4.8229927627251916</c:v>
                </c:pt>
                <c:pt idx="19">
                  <c:v>-6.7011617431407773</c:v>
                </c:pt>
                <c:pt idx="20">
                  <c:v>-1.4526802610317109</c:v>
                </c:pt>
                <c:pt idx="21">
                  <c:v>-5.1537432261399472</c:v>
                </c:pt>
                <c:pt idx="22">
                  <c:v>-5.2505711091898997</c:v>
                </c:pt>
                <c:pt idx="23">
                  <c:v>-6.7438130367918543</c:v>
                </c:pt>
                <c:pt idx="24">
                  <c:v>-6.6933732333364997</c:v>
                </c:pt>
                <c:pt idx="25">
                  <c:v>-4.9821808108591004</c:v>
                </c:pt>
                <c:pt idx="26">
                  <c:v>-5.4438462678215105</c:v>
                </c:pt>
                <c:pt idx="27">
                  <c:v>-6.0488041304801028</c:v>
                </c:pt>
                <c:pt idx="28">
                  <c:v>-6.4462814382194704</c:v>
                </c:pt>
                <c:pt idx="29">
                  <c:v>-5.5433427935979038</c:v>
                </c:pt>
                <c:pt idx="30">
                  <c:v>-6.6933076790147279</c:v>
                </c:pt>
                <c:pt idx="31">
                  <c:v>-5.2759244080722798</c:v>
                </c:pt>
                <c:pt idx="32">
                  <c:v>-7.1102434917191308</c:v>
                </c:pt>
                <c:pt idx="33">
                  <c:v>-2.0364327620748348</c:v>
                </c:pt>
                <c:pt idx="34">
                  <c:v>-5.4977397118189089</c:v>
                </c:pt>
                <c:pt idx="35">
                  <c:v>-7.6935868172687396</c:v>
                </c:pt>
                <c:pt idx="36">
                  <c:v>-6.2123072077883243</c:v>
                </c:pt>
                <c:pt idx="37">
                  <c:v>-6.7987337489943265</c:v>
                </c:pt>
                <c:pt idx="38">
                  <c:v>-7.2334726094655952</c:v>
                </c:pt>
                <c:pt idx="39">
                  <c:v>-5.5898134695694353</c:v>
                </c:pt>
                <c:pt idx="40">
                  <c:v>-6.3606908916287015</c:v>
                </c:pt>
                <c:pt idx="41">
                  <c:v>-6.2743061734796601</c:v>
                </c:pt>
                <c:pt idx="42">
                  <c:v>-6.5109903099075659</c:v>
                </c:pt>
                <c:pt idx="43">
                  <c:v>-8.5586789655860294</c:v>
                </c:pt>
                <c:pt idx="44">
                  <c:v>-4.9524328829237874</c:v>
                </c:pt>
                <c:pt idx="45">
                  <c:v>-6.0429125024321095</c:v>
                </c:pt>
                <c:pt idx="46">
                  <c:v>-2.0008394488723309</c:v>
                </c:pt>
                <c:pt idx="47">
                  <c:v>-5.906020929926715</c:v>
                </c:pt>
                <c:pt idx="48">
                  <c:v>-5.7654154925508081</c:v>
                </c:pt>
                <c:pt idx="49">
                  <c:v>-6.6580462150344291</c:v>
                </c:pt>
                <c:pt idx="50">
                  <c:v>-7.2613572709424394</c:v>
                </c:pt>
                <c:pt idx="51">
                  <c:v>-6.1191119638293472</c:v>
                </c:pt>
              </c:numCache>
            </c:numRef>
          </c:xVal>
          <c:yVal>
            <c:numRef>
              <c:f>Rawdata!$I$314:$I$365</c:f>
              <c:numCache>
                <c:formatCode>#,##0.0;[Red]\-#,##0.0</c:formatCode>
                <c:ptCount val="52"/>
                <c:pt idx="0">
                  <c:v>2054.54</c:v>
                </c:pt>
                <c:pt idx="1">
                  <c:v>3272.9300000000003</c:v>
                </c:pt>
                <c:pt idx="2">
                  <c:v>2866.8</c:v>
                </c:pt>
                <c:pt idx="3">
                  <c:v>2651.79</c:v>
                </c:pt>
                <c:pt idx="4">
                  <c:v>3965.7400000000002</c:v>
                </c:pt>
                <c:pt idx="5">
                  <c:v>2173.9900000000002</c:v>
                </c:pt>
                <c:pt idx="6">
                  <c:v>3272.9300000000003</c:v>
                </c:pt>
                <c:pt idx="7">
                  <c:v>716.7</c:v>
                </c:pt>
                <c:pt idx="8">
                  <c:v>2890.69</c:v>
                </c:pt>
                <c:pt idx="9">
                  <c:v>5423.03</c:v>
                </c:pt>
                <c:pt idx="10">
                  <c:v>5900.8300000000008</c:v>
                </c:pt>
                <c:pt idx="11">
                  <c:v>6235.2900000000009</c:v>
                </c:pt>
                <c:pt idx="12">
                  <c:v>6211.4000000000005</c:v>
                </c:pt>
                <c:pt idx="13">
                  <c:v>2054.54</c:v>
                </c:pt>
                <c:pt idx="14">
                  <c:v>3272.9300000000003</c:v>
                </c:pt>
                <c:pt idx="15">
                  <c:v>2866.8</c:v>
                </c:pt>
                <c:pt idx="16">
                  <c:v>2651.79</c:v>
                </c:pt>
                <c:pt idx="17">
                  <c:v>3965.7400000000002</c:v>
                </c:pt>
                <c:pt idx="18">
                  <c:v>2173.9900000000002</c:v>
                </c:pt>
                <c:pt idx="19">
                  <c:v>3272.9300000000003</c:v>
                </c:pt>
                <c:pt idx="20">
                  <c:v>716.7</c:v>
                </c:pt>
                <c:pt idx="21">
                  <c:v>2890.69</c:v>
                </c:pt>
                <c:pt idx="22">
                  <c:v>5423.03</c:v>
                </c:pt>
                <c:pt idx="23">
                  <c:v>5900.8300000000008</c:v>
                </c:pt>
                <c:pt idx="24">
                  <c:v>6235.2900000000009</c:v>
                </c:pt>
                <c:pt idx="25">
                  <c:v>6211.4000000000005</c:v>
                </c:pt>
                <c:pt idx="26">
                  <c:v>2054.54</c:v>
                </c:pt>
                <c:pt idx="27">
                  <c:v>3272.9300000000003</c:v>
                </c:pt>
                <c:pt idx="28">
                  <c:v>2866.8</c:v>
                </c:pt>
                <c:pt idx="29">
                  <c:v>2651.79</c:v>
                </c:pt>
                <c:pt idx="30">
                  <c:v>3965.7400000000002</c:v>
                </c:pt>
                <c:pt idx="31">
                  <c:v>2173.9900000000002</c:v>
                </c:pt>
                <c:pt idx="32">
                  <c:v>3272.9300000000003</c:v>
                </c:pt>
                <c:pt idx="33">
                  <c:v>716.7</c:v>
                </c:pt>
                <c:pt idx="34">
                  <c:v>2890.69</c:v>
                </c:pt>
                <c:pt idx="35">
                  <c:v>5423.03</c:v>
                </c:pt>
                <c:pt idx="36">
                  <c:v>5900.8300000000008</c:v>
                </c:pt>
                <c:pt idx="37">
                  <c:v>6235.2900000000009</c:v>
                </c:pt>
                <c:pt idx="38">
                  <c:v>6211.4000000000005</c:v>
                </c:pt>
                <c:pt idx="39">
                  <c:v>2054.54</c:v>
                </c:pt>
                <c:pt idx="40">
                  <c:v>3272.9300000000003</c:v>
                </c:pt>
                <c:pt idx="41">
                  <c:v>2866.8</c:v>
                </c:pt>
                <c:pt idx="42">
                  <c:v>2651.79</c:v>
                </c:pt>
                <c:pt idx="43">
                  <c:v>3965.7400000000002</c:v>
                </c:pt>
                <c:pt idx="44">
                  <c:v>2173.9900000000002</c:v>
                </c:pt>
                <c:pt idx="45">
                  <c:v>3272.9300000000003</c:v>
                </c:pt>
                <c:pt idx="46">
                  <c:v>716.7</c:v>
                </c:pt>
                <c:pt idx="47">
                  <c:v>2890.69</c:v>
                </c:pt>
                <c:pt idx="48">
                  <c:v>5423.03</c:v>
                </c:pt>
                <c:pt idx="49">
                  <c:v>5900.8300000000008</c:v>
                </c:pt>
                <c:pt idx="50">
                  <c:v>6235.2900000000009</c:v>
                </c:pt>
                <c:pt idx="51">
                  <c:v>6211.4000000000005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3-46D8-ADDB-5763F49D3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Rawdata!$G$365:$G$416</c:f>
              <c:numCache>
                <c:formatCode>0.00</c:formatCode>
                <c:ptCount val="52"/>
                <c:pt idx="0">
                  <c:v>-6.1191119638293472</c:v>
                </c:pt>
                <c:pt idx="1">
                  <c:v>-0.12350348400842401</c:v>
                </c:pt>
                <c:pt idx="2">
                  <c:v>-2.2777443743589698</c:v>
                </c:pt>
                <c:pt idx="3">
                  <c:v>-1.6258083347563907</c:v>
                </c:pt>
                <c:pt idx="4">
                  <c:v>-1.7498751364580516</c:v>
                </c:pt>
                <c:pt idx="5">
                  <c:v>-1.3709588152965178</c:v>
                </c:pt>
                <c:pt idx="6">
                  <c:v>-1.0527596928508134</c:v>
                </c:pt>
                <c:pt idx="7">
                  <c:v>-2.9219895986713245</c:v>
                </c:pt>
                <c:pt idx="8">
                  <c:v>-1.2259416182936931</c:v>
                </c:pt>
                <c:pt idx="9">
                  <c:v>-1.9839638324318196</c:v>
                </c:pt>
                <c:pt idx="10">
                  <c:v>-2.4519212056036639</c:v>
                </c:pt>
                <c:pt idx="11">
                  <c:v>-2.6978855740081285</c:v>
                </c:pt>
                <c:pt idx="12">
                  <c:v>-2.5566079552304473</c:v>
                </c:pt>
                <c:pt idx="13">
                  <c:v>-2.4735396860977308</c:v>
                </c:pt>
                <c:pt idx="14">
                  <c:v>-1.3151080734198692E-2</c:v>
                </c:pt>
                <c:pt idx="15">
                  <c:v>-1.938098295208158</c:v>
                </c:pt>
                <c:pt idx="16">
                  <c:v>-1.8583371546304219</c:v>
                </c:pt>
                <c:pt idx="17">
                  <c:v>-1.6909904019878843</c:v>
                </c:pt>
                <c:pt idx="18">
                  <c:v>-1.9940010222772406</c:v>
                </c:pt>
                <c:pt idx="19">
                  <c:v>-1.1607196579611281</c:v>
                </c:pt>
                <c:pt idx="20">
                  <c:v>-2.8995662204182926</c:v>
                </c:pt>
                <c:pt idx="21">
                  <c:v>-0.93320308809852637</c:v>
                </c:pt>
                <c:pt idx="22">
                  <c:v>-1.8338320149893819</c:v>
                </c:pt>
                <c:pt idx="23">
                  <c:v>-2.4858676723337561</c:v>
                </c:pt>
                <c:pt idx="24">
                  <c:v>-2.7902757392233273</c:v>
                </c:pt>
                <c:pt idx="25">
                  <c:v>-2.6305193382057701</c:v>
                </c:pt>
                <c:pt idx="26">
                  <c:v>-2.5772472526772203</c:v>
                </c:pt>
                <c:pt idx="27">
                  <c:v>-0.14548704168448251</c:v>
                </c:pt>
                <c:pt idx="28">
                  <c:v>-2.0335429184648088</c:v>
                </c:pt>
                <c:pt idx="29">
                  <c:v>-2.0212214790964942</c:v>
                </c:pt>
                <c:pt idx="30">
                  <c:v>-2.0691984328487703</c:v>
                </c:pt>
                <c:pt idx="31">
                  <c:v>-2.2320078634463387</c:v>
                </c:pt>
                <c:pt idx="32">
                  <c:v>-1.2033427265215451</c:v>
                </c:pt>
                <c:pt idx="33">
                  <c:v>-2.9308520412389174</c:v>
                </c:pt>
                <c:pt idx="34">
                  <c:v>-1.3557229170651199</c:v>
                </c:pt>
                <c:pt idx="35">
                  <c:v>-2.1350703698778495</c:v>
                </c:pt>
                <c:pt idx="36">
                  <c:v>-2.3400530923905496</c:v>
                </c:pt>
                <c:pt idx="37">
                  <c:v>-3.0586719047885249</c:v>
                </c:pt>
                <c:pt idx="38">
                  <c:v>-2.7399523992124251</c:v>
                </c:pt>
                <c:pt idx="39">
                  <c:v>-2.6318802448253882</c:v>
                </c:pt>
                <c:pt idx="40">
                  <c:v>-0.17154820748625765</c:v>
                </c:pt>
                <c:pt idx="41">
                  <c:v>-1.872301743464531</c:v>
                </c:pt>
                <c:pt idx="42">
                  <c:v>-2.0102469664613221</c:v>
                </c:pt>
                <c:pt idx="43">
                  <c:v>-2.0711441043448575</c:v>
                </c:pt>
                <c:pt idx="44">
                  <c:v>-2.2164841927478447</c:v>
                </c:pt>
                <c:pt idx="45">
                  <c:v>-1.0167841409606757</c:v>
                </c:pt>
                <c:pt idx="46">
                  <c:v>-3.2046541816742971</c:v>
                </c:pt>
                <c:pt idx="47">
                  <c:v>-1.281459846035554</c:v>
                </c:pt>
                <c:pt idx="48">
                  <c:v>-2.1369425913467963</c:v>
                </c:pt>
                <c:pt idx="49">
                  <c:v>-2.5137065463815511</c:v>
                </c:pt>
                <c:pt idx="50">
                  <c:v>-2.7968840092130707</c:v>
                </c:pt>
                <c:pt idx="51">
                  <c:v>-2.7720601810012613</c:v>
                </c:pt>
              </c:numCache>
            </c:numRef>
          </c:xVal>
          <c:yVal>
            <c:numRef>
              <c:f>Rawdata!$I$365:$I$416</c:f>
              <c:numCache>
                <c:formatCode>#,##0.0;[Red]\-#,##0.0</c:formatCode>
                <c:ptCount val="52"/>
                <c:pt idx="0">
                  <c:v>6211.4000000000005</c:v>
                </c:pt>
                <c:pt idx="1">
                  <c:v>597.25</c:v>
                </c:pt>
                <c:pt idx="2">
                  <c:v>1624.5200000000002</c:v>
                </c:pt>
                <c:pt idx="3">
                  <c:v>1170.6100000000001</c:v>
                </c:pt>
                <c:pt idx="4">
                  <c:v>1027.27</c:v>
                </c:pt>
                <c:pt idx="5">
                  <c:v>2699.57</c:v>
                </c:pt>
                <c:pt idx="6">
                  <c:v>716.7</c:v>
                </c:pt>
                <c:pt idx="7">
                  <c:v>2484.56</c:v>
                </c:pt>
                <c:pt idx="8">
                  <c:v>1528.96</c:v>
                </c:pt>
                <c:pt idx="9">
                  <c:v>1672.3000000000002</c:v>
                </c:pt>
                <c:pt idx="10">
                  <c:v>3440.1600000000003</c:v>
                </c:pt>
                <c:pt idx="11">
                  <c:v>4180.75</c:v>
                </c:pt>
                <c:pt idx="12">
                  <c:v>4849.67</c:v>
                </c:pt>
                <c:pt idx="13">
                  <c:v>4897.4500000000007</c:v>
                </c:pt>
                <c:pt idx="14">
                  <c:v>597.25</c:v>
                </c:pt>
                <c:pt idx="15">
                  <c:v>1624.5200000000002</c:v>
                </c:pt>
                <c:pt idx="16">
                  <c:v>1170.6100000000001</c:v>
                </c:pt>
                <c:pt idx="17">
                  <c:v>1027.27</c:v>
                </c:pt>
                <c:pt idx="18">
                  <c:v>2699.57</c:v>
                </c:pt>
                <c:pt idx="19">
                  <c:v>716.7</c:v>
                </c:pt>
                <c:pt idx="20">
                  <c:v>2484.56</c:v>
                </c:pt>
                <c:pt idx="21">
                  <c:v>1528.96</c:v>
                </c:pt>
                <c:pt idx="22">
                  <c:v>1672.3000000000002</c:v>
                </c:pt>
                <c:pt idx="23">
                  <c:v>3440.1600000000003</c:v>
                </c:pt>
                <c:pt idx="24">
                  <c:v>4180.75</c:v>
                </c:pt>
                <c:pt idx="25">
                  <c:v>4849.67</c:v>
                </c:pt>
                <c:pt idx="26">
                  <c:v>4897.4500000000007</c:v>
                </c:pt>
                <c:pt idx="27">
                  <c:v>597.25</c:v>
                </c:pt>
                <c:pt idx="28">
                  <c:v>1624.5200000000002</c:v>
                </c:pt>
                <c:pt idx="29">
                  <c:v>1170.6100000000001</c:v>
                </c:pt>
                <c:pt idx="30">
                  <c:v>1027.27</c:v>
                </c:pt>
                <c:pt idx="31">
                  <c:v>2699.57</c:v>
                </c:pt>
                <c:pt idx="32">
                  <c:v>716.7</c:v>
                </c:pt>
                <c:pt idx="33">
                  <c:v>2484.56</c:v>
                </c:pt>
                <c:pt idx="34">
                  <c:v>1528.96</c:v>
                </c:pt>
                <c:pt idx="35">
                  <c:v>1672.3000000000002</c:v>
                </c:pt>
                <c:pt idx="36">
                  <c:v>3440.1600000000003</c:v>
                </c:pt>
                <c:pt idx="37">
                  <c:v>4180.75</c:v>
                </c:pt>
                <c:pt idx="38">
                  <c:v>4849.67</c:v>
                </c:pt>
                <c:pt idx="39">
                  <c:v>4897.4500000000007</c:v>
                </c:pt>
                <c:pt idx="40">
                  <c:v>597.25</c:v>
                </c:pt>
                <c:pt idx="41">
                  <c:v>1624.5200000000002</c:v>
                </c:pt>
                <c:pt idx="42">
                  <c:v>1170.6100000000001</c:v>
                </c:pt>
                <c:pt idx="43">
                  <c:v>1027.27</c:v>
                </c:pt>
                <c:pt idx="44">
                  <c:v>2699.57</c:v>
                </c:pt>
                <c:pt idx="45">
                  <c:v>716.7</c:v>
                </c:pt>
                <c:pt idx="46">
                  <c:v>2484.56</c:v>
                </c:pt>
                <c:pt idx="47">
                  <c:v>1528.96</c:v>
                </c:pt>
                <c:pt idx="48">
                  <c:v>1672.3000000000002</c:v>
                </c:pt>
                <c:pt idx="49">
                  <c:v>3440.1600000000003</c:v>
                </c:pt>
                <c:pt idx="50">
                  <c:v>4180.75</c:v>
                </c:pt>
                <c:pt idx="51">
                  <c:v>4849.67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4-40C7-AD29-AF60599C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Rawdata!$G$418:$G$469</c:f>
              <c:numCache>
                <c:formatCode>0.00</c:formatCode>
                <c:ptCount val="52"/>
                <c:pt idx="0">
                  <c:v>-2.792308998093413</c:v>
                </c:pt>
                <c:pt idx="1">
                  <c:v>-4.49661076082102</c:v>
                </c:pt>
                <c:pt idx="2">
                  <c:v>-4.4825467042516056</c:v>
                </c:pt>
                <c:pt idx="3">
                  <c:v>-4.6813337544567375</c:v>
                </c:pt>
                <c:pt idx="4">
                  <c:v>-5.0787217500632265</c:v>
                </c:pt>
                <c:pt idx="5">
                  <c:v>-3.8477669279237232</c:v>
                </c:pt>
                <c:pt idx="6">
                  <c:v>-5.4551258375299909</c:v>
                </c:pt>
                <c:pt idx="7">
                  <c:v>-4.0051775600943795</c:v>
                </c:pt>
                <c:pt idx="8">
                  <c:v>-3.9064634790591106</c:v>
                </c:pt>
                <c:pt idx="9">
                  <c:v>-3.9822686959213569</c:v>
                </c:pt>
                <c:pt idx="10">
                  <c:v>-5.4190765686713966</c:v>
                </c:pt>
                <c:pt idx="11">
                  <c:v>-5.5157444043501664</c:v>
                </c:pt>
                <c:pt idx="12">
                  <c:v>-3.9349937339984278</c:v>
                </c:pt>
                <c:pt idx="13">
                  <c:v>-2.5896239752001442</c:v>
                </c:pt>
                <c:pt idx="14">
                  <c:v>-4.3484580996423157</c:v>
                </c:pt>
                <c:pt idx="15">
                  <c:v>-4.5816306624755043</c:v>
                </c:pt>
                <c:pt idx="16">
                  <c:v>-3.9973985121207067</c:v>
                </c:pt>
                <c:pt idx="17">
                  <c:v>-5.0774388762503371</c:v>
                </c:pt>
                <c:pt idx="18">
                  <c:v>-4.1459794509050303</c:v>
                </c:pt>
                <c:pt idx="19">
                  <c:v>-5.2161171136409434</c:v>
                </c:pt>
                <c:pt idx="20">
                  <c:v>-4.0120727405256336</c:v>
                </c:pt>
                <c:pt idx="21">
                  <c:v>-3.8751157775132872</c:v>
                </c:pt>
                <c:pt idx="22">
                  <c:v>-4.6145037044798496</c:v>
                </c:pt>
                <c:pt idx="23">
                  <c:v>-4.2651447104165454</c:v>
                </c:pt>
                <c:pt idx="24">
                  <c:v>-5.0421537868874449</c:v>
                </c:pt>
                <c:pt idx="25">
                  <c:v>-5.2090908449687872</c:v>
                </c:pt>
                <c:pt idx="26">
                  <c:v>-3.0309270018230161</c:v>
                </c:pt>
                <c:pt idx="27">
                  <c:v>-4.4978518407196946</c:v>
                </c:pt>
                <c:pt idx="28">
                  <c:v>-5.5643018758532925</c:v>
                </c:pt>
                <c:pt idx="29">
                  <c:v>-4.8605018576431078</c:v>
                </c:pt>
                <c:pt idx="30">
                  <c:v>-5.2705880716963547</c:v>
                </c:pt>
                <c:pt idx="31">
                  <c:v>-4.4451310483565392</c:v>
                </c:pt>
                <c:pt idx="32">
                  <c:v>-5.8605909456381546</c:v>
                </c:pt>
                <c:pt idx="33">
                  <c:v>-4.2416471821701336</c:v>
                </c:pt>
                <c:pt idx="34">
                  <c:v>-4.1510260836572774</c:v>
                </c:pt>
                <c:pt idx="35">
                  <c:v>-4.629477246270012</c:v>
                </c:pt>
                <c:pt idx="36">
                  <c:v>-5.4391173195548435</c:v>
                </c:pt>
                <c:pt idx="37">
                  <c:v>-6.0982064611367583</c:v>
                </c:pt>
                <c:pt idx="38">
                  <c:v>-4.9722056658022806</c:v>
                </c:pt>
                <c:pt idx="39">
                  <c:v>-2.9402015486661699</c:v>
                </c:pt>
                <c:pt idx="40">
                  <c:v>-4.9147135283476366</c:v>
                </c:pt>
                <c:pt idx="41">
                  <c:v>-4.953617569457764</c:v>
                </c:pt>
                <c:pt idx="42">
                  <c:v>-4.6661666285204042</c:v>
                </c:pt>
                <c:pt idx="43">
                  <c:v>-4.8259820079720388</c:v>
                </c:pt>
                <c:pt idx="44">
                  <c:v>-4.8623900919156675</c:v>
                </c:pt>
                <c:pt idx="45">
                  <c:v>-5.3762820270148035</c:v>
                </c:pt>
                <c:pt idx="46">
                  <c:v>-4.5874821087191968</c:v>
                </c:pt>
                <c:pt idx="47">
                  <c:v>-4.0516812856496882</c:v>
                </c:pt>
                <c:pt idx="48">
                  <c:v>-5.0284976489355344</c:v>
                </c:pt>
                <c:pt idx="49">
                  <c:v>-4.6737436349408812</c:v>
                </c:pt>
                <c:pt idx="50">
                  <c:v>-5.0094464689116602</c:v>
                </c:pt>
                <c:pt idx="51">
                  <c:v>-6.0294998051396593</c:v>
                </c:pt>
              </c:numCache>
            </c:numRef>
          </c:xVal>
          <c:yVal>
            <c:numRef>
              <c:f>Rawdata!$I$418:$I$469</c:f>
              <c:numCache>
                <c:formatCode>#,##0.0;[Red]\-#,##0.0</c:formatCode>
                <c:ptCount val="52"/>
                <c:pt idx="0">
                  <c:v>955.6</c:v>
                </c:pt>
                <c:pt idx="1">
                  <c:v>1935.0900000000001</c:v>
                </c:pt>
                <c:pt idx="2">
                  <c:v>1935.0900000000001</c:v>
                </c:pt>
                <c:pt idx="3">
                  <c:v>2006.7600000000002</c:v>
                </c:pt>
                <c:pt idx="4">
                  <c:v>3750.7300000000005</c:v>
                </c:pt>
                <c:pt idx="5">
                  <c:v>1600.63</c:v>
                </c:pt>
                <c:pt idx="6">
                  <c:v>3583.5</c:v>
                </c:pt>
                <c:pt idx="7">
                  <c:v>2078.4299999999998</c:v>
                </c:pt>
                <c:pt idx="8">
                  <c:v>1361.73</c:v>
                </c:pt>
                <c:pt idx="9">
                  <c:v>3368.4900000000002</c:v>
                </c:pt>
                <c:pt idx="10">
                  <c:v>4610.7700000000004</c:v>
                </c:pt>
                <c:pt idx="11">
                  <c:v>5638.0400000000009</c:v>
                </c:pt>
                <c:pt idx="12">
                  <c:v>5972.5</c:v>
                </c:pt>
                <c:pt idx="13">
                  <c:v>955.6</c:v>
                </c:pt>
                <c:pt idx="14">
                  <c:v>1935.0900000000001</c:v>
                </c:pt>
                <c:pt idx="15">
                  <c:v>1935.0900000000001</c:v>
                </c:pt>
                <c:pt idx="16">
                  <c:v>2006.7600000000002</c:v>
                </c:pt>
                <c:pt idx="17">
                  <c:v>3750.7300000000005</c:v>
                </c:pt>
                <c:pt idx="18">
                  <c:v>1600.63</c:v>
                </c:pt>
                <c:pt idx="19">
                  <c:v>3583.5</c:v>
                </c:pt>
                <c:pt idx="20">
                  <c:v>2078.4299999999998</c:v>
                </c:pt>
                <c:pt idx="21">
                  <c:v>1361.73</c:v>
                </c:pt>
                <c:pt idx="22">
                  <c:v>3368.4900000000002</c:v>
                </c:pt>
                <c:pt idx="23">
                  <c:v>4610.7700000000004</c:v>
                </c:pt>
                <c:pt idx="24">
                  <c:v>5638.0400000000009</c:v>
                </c:pt>
                <c:pt idx="25">
                  <c:v>5972.5</c:v>
                </c:pt>
                <c:pt idx="26">
                  <c:v>955.6</c:v>
                </c:pt>
                <c:pt idx="27">
                  <c:v>1935.0900000000001</c:v>
                </c:pt>
                <c:pt idx="28">
                  <c:v>1935.0900000000001</c:v>
                </c:pt>
                <c:pt idx="29">
                  <c:v>2006.7600000000002</c:v>
                </c:pt>
                <c:pt idx="30">
                  <c:v>3750.7300000000005</c:v>
                </c:pt>
                <c:pt idx="31">
                  <c:v>1600.63</c:v>
                </c:pt>
                <c:pt idx="32">
                  <c:v>3583.5</c:v>
                </c:pt>
                <c:pt idx="33">
                  <c:v>2078.4299999999998</c:v>
                </c:pt>
                <c:pt idx="34">
                  <c:v>1361.73</c:v>
                </c:pt>
                <c:pt idx="35">
                  <c:v>3368.4900000000002</c:v>
                </c:pt>
                <c:pt idx="36">
                  <c:v>4610.7700000000004</c:v>
                </c:pt>
                <c:pt idx="37">
                  <c:v>5638.0400000000009</c:v>
                </c:pt>
                <c:pt idx="38">
                  <c:v>5972.5</c:v>
                </c:pt>
                <c:pt idx="39">
                  <c:v>955.6</c:v>
                </c:pt>
                <c:pt idx="40">
                  <c:v>1935.0900000000001</c:v>
                </c:pt>
                <c:pt idx="41">
                  <c:v>1935.0900000000001</c:v>
                </c:pt>
                <c:pt idx="42">
                  <c:v>2006.7600000000002</c:v>
                </c:pt>
                <c:pt idx="43">
                  <c:v>3750.7300000000005</c:v>
                </c:pt>
                <c:pt idx="44">
                  <c:v>1600.63</c:v>
                </c:pt>
                <c:pt idx="45">
                  <c:v>3583.5</c:v>
                </c:pt>
                <c:pt idx="46">
                  <c:v>2078.4299999999998</c:v>
                </c:pt>
                <c:pt idx="47">
                  <c:v>1361.73</c:v>
                </c:pt>
                <c:pt idx="48">
                  <c:v>3368.4900000000002</c:v>
                </c:pt>
                <c:pt idx="49">
                  <c:v>4610.7700000000004</c:v>
                </c:pt>
                <c:pt idx="50">
                  <c:v>5638.0400000000009</c:v>
                </c:pt>
                <c:pt idx="51">
                  <c:v>5972.5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4-4830-9ADD-EFB5C70EE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Rawdata!$G$470:$G$521</c:f>
              <c:numCache>
                <c:formatCode>0.00</c:formatCode>
                <c:ptCount val="52"/>
                <c:pt idx="0">
                  <c:v>-6.8748461234880542</c:v>
                </c:pt>
                <c:pt idx="1">
                  <c:v>-6.0755119493950387</c:v>
                </c:pt>
                <c:pt idx="2">
                  <c:v>-5.0956511771380146</c:v>
                </c:pt>
                <c:pt idx="3">
                  <c:v>-4.7859587055356103</c:v>
                </c:pt>
                <c:pt idx="4">
                  <c:v>-3.3517005081200759</c:v>
                </c:pt>
                <c:pt idx="5">
                  <c:v>-4.4939590347238232</c:v>
                </c:pt>
                <c:pt idx="6">
                  <c:v>-1.7586172004883354</c:v>
                </c:pt>
                <c:pt idx="7">
                  <c:v>-4.2248912684416942</c:v>
                </c:pt>
                <c:pt idx="8">
                  <c:v>-5.0259098546300622</c:v>
                </c:pt>
                <c:pt idx="9">
                  <c:v>-5.7587265044000118</c:v>
                </c:pt>
                <c:pt idx="10">
                  <c:v>-5.4554442128422718</c:v>
                </c:pt>
                <c:pt idx="11">
                  <c:v>-4.8949692213897764</c:v>
                </c:pt>
                <c:pt idx="12">
                  <c:v>-3.3792805128590309</c:v>
                </c:pt>
                <c:pt idx="13">
                  <c:v>-4.9491500259854035</c:v>
                </c:pt>
                <c:pt idx="14">
                  <c:v>-5.0615897422111882</c:v>
                </c:pt>
                <c:pt idx="15">
                  <c:v>-5.6440987926935895</c:v>
                </c:pt>
                <c:pt idx="16">
                  <c:v>-3.9048966655451984</c:v>
                </c:pt>
                <c:pt idx="17">
                  <c:v>-2.3136224930711431</c:v>
                </c:pt>
                <c:pt idx="18">
                  <c:v>-4.0526086409032125</c:v>
                </c:pt>
                <c:pt idx="19">
                  <c:v>-1.7417564102042733</c:v>
                </c:pt>
                <c:pt idx="20">
                  <c:v>-4.5709765312789665</c:v>
                </c:pt>
                <c:pt idx="21">
                  <c:v>-5.2154150467954423</c:v>
                </c:pt>
                <c:pt idx="22">
                  <c:v>-5.5635252847423953</c:v>
                </c:pt>
                <c:pt idx="23">
                  <c:v>-6.5296650483862226</c:v>
                </c:pt>
                <c:pt idx="24">
                  <c:v>-4.030320398165026</c:v>
                </c:pt>
                <c:pt idx="25">
                  <c:v>-2.6666473297853979</c:v>
                </c:pt>
                <c:pt idx="26">
                  <c:v>-4.4391188186488675</c:v>
                </c:pt>
                <c:pt idx="27">
                  <c:v>-5.5174010526390367</c:v>
                </c:pt>
                <c:pt idx="28">
                  <c:v>-5.7844999169377456</c:v>
                </c:pt>
                <c:pt idx="29">
                  <c:v>-4.2426352297516221</c:v>
                </c:pt>
                <c:pt idx="30">
                  <c:v>-2.6321974828547683</c:v>
                </c:pt>
                <c:pt idx="31">
                  <c:v>-4.0341341182463868</c:v>
                </c:pt>
                <c:pt idx="32">
                  <c:v>-1.9661673888110869</c:v>
                </c:pt>
                <c:pt idx="33">
                  <c:v>-5.2422995439985884</c:v>
                </c:pt>
                <c:pt idx="34">
                  <c:v>-4.9213917990052138</c:v>
                </c:pt>
                <c:pt idx="35">
                  <c:v>-6.3831771536737216</c:v>
                </c:pt>
                <c:pt idx="36">
                  <c:v>-6.5917968294932283</c:v>
                </c:pt>
                <c:pt idx="37">
                  <c:v>-4.5667300901723697</c:v>
                </c:pt>
                <c:pt idx="38">
                  <c:v>-2.9226734840800819</c:v>
                </c:pt>
                <c:pt idx="39">
                  <c:v>-6.0924203584895826</c:v>
                </c:pt>
                <c:pt idx="40">
                  <c:v>-6.1602020308792973</c:v>
                </c:pt>
                <c:pt idx="41">
                  <c:v>-5.8701752883846332</c:v>
                </c:pt>
                <c:pt idx="42">
                  <c:v>-3.906069136074636</c:v>
                </c:pt>
                <c:pt idx="43">
                  <c:v>-2.8237208734613781</c:v>
                </c:pt>
                <c:pt idx="44">
                  <c:v>-4.1147829942233418</c:v>
                </c:pt>
                <c:pt idx="45">
                  <c:v>-2.0904473877150789</c:v>
                </c:pt>
                <c:pt idx="46">
                  <c:v>-4.6311119489318564</c:v>
                </c:pt>
                <c:pt idx="47">
                  <c:v>-6.7194924435717169</c:v>
                </c:pt>
                <c:pt idx="48">
                  <c:v>-5.8493808726681422</c:v>
                </c:pt>
                <c:pt idx="49">
                  <c:v>-5.7014815840223338</c:v>
                </c:pt>
                <c:pt idx="50">
                  <c:v>-5.521923620716124</c:v>
                </c:pt>
                <c:pt idx="51">
                  <c:v>-2.8378483665263303</c:v>
                </c:pt>
              </c:numCache>
            </c:numRef>
          </c:xVal>
          <c:yVal>
            <c:numRef>
              <c:f>Rawdata!$I$470:$I$521</c:f>
              <c:numCache>
                <c:formatCode>#,##0.0;[Red]\-#,##0.0</c:formatCode>
                <c:ptCount val="52"/>
                <c:pt idx="0">
                  <c:v>3583.5</c:v>
                </c:pt>
                <c:pt idx="1">
                  <c:v>4491.3200000000006</c:v>
                </c:pt>
                <c:pt idx="2">
                  <c:v>3201.26</c:v>
                </c:pt>
                <c:pt idx="3">
                  <c:v>2030.65</c:v>
                </c:pt>
                <c:pt idx="4">
                  <c:v>860.04000000000008</c:v>
                </c:pt>
                <c:pt idx="5">
                  <c:v>2436.7799999999997</c:v>
                </c:pt>
                <c:pt idx="6">
                  <c:v>1051.1600000000001</c:v>
                </c:pt>
                <c:pt idx="7">
                  <c:v>3440.1600000000003</c:v>
                </c:pt>
                <c:pt idx="8">
                  <c:v>5829.16</c:v>
                </c:pt>
                <c:pt idx="9">
                  <c:v>6975.88</c:v>
                </c:pt>
                <c:pt idx="10">
                  <c:v>6306.9600000000009</c:v>
                </c:pt>
                <c:pt idx="11">
                  <c:v>3201.26</c:v>
                </c:pt>
                <c:pt idx="12">
                  <c:v>2508.4499999999998</c:v>
                </c:pt>
                <c:pt idx="13">
                  <c:v>3583.5</c:v>
                </c:pt>
                <c:pt idx="14">
                  <c:v>4491.3200000000006</c:v>
                </c:pt>
                <c:pt idx="15">
                  <c:v>3201.26</c:v>
                </c:pt>
                <c:pt idx="16">
                  <c:v>2030.65</c:v>
                </c:pt>
                <c:pt idx="17">
                  <c:v>860.04000000000008</c:v>
                </c:pt>
                <c:pt idx="18">
                  <c:v>2436.7799999999997</c:v>
                </c:pt>
                <c:pt idx="19">
                  <c:v>1051.1600000000001</c:v>
                </c:pt>
                <c:pt idx="20">
                  <c:v>3440.1600000000003</c:v>
                </c:pt>
                <c:pt idx="21">
                  <c:v>5829.16</c:v>
                </c:pt>
                <c:pt idx="22">
                  <c:v>6975.88</c:v>
                </c:pt>
                <c:pt idx="23">
                  <c:v>6306.9600000000009</c:v>
                </c:pt>
                <c:pt idx="24">
                  <c:v>3201.26</c:v>
                </c:pt>
                <c:pt idx="25">
                  <c:v>2508.4499999999998</c:v>
                </c:pt>
                <c:pt idx="26">
                  <c:v>3583.5</c:v>
                </c:pt>
                <c:pt idx="27">
                  <c:v>4491.3200000000006</c:v>
                </c:pt>
                <c:pt idx="28">
                  <c:v>3201.26</c:v>
                </c:pt>
                <c:pt idx="29">
                  <c:v>2030.65</c:v>
                </c:pt>
                <c:pt idx="30">
                  <c:v>860.04000000000008</c:v>
                </c:pt>
                <c:pt idx="31">
                  <c:v>2436.7799999999997</c:v>
                </c:pt>
                <c:pt idx="32">
                  <c:v>1051.1600000000001</c:v>
                </c:pt>
                <c:pt idx="33">
                  <c:v>3440.1600000000003</c:v>
                </c:pt>
                <c:pt idx="34">
                  <c:v>5829.16</c:v>
                </c:pt>
                <c:pt idx="35">
                  <c:v>6975.88</c:v>
                </c:pt>
                <c:pt idx="36">
                  <c:v>6306.9600000000009</c:v>
                </c:pt>
                <c:pt idx="37">
                  <c:v>3201.26</c:v>
                </c:pt>
                <c:pt idx="38">
                  <c:v>2508.4499999999998</c:v>
                </c:pt>
                <c:pt idx="39">
                  <c:v>3583.5</c:v>
                </c:pt>
                <c:pt idx="40">
                  <c:v>4491.3200000000006</c:v>
                </c:pt>
                <c:pt idx="41">
                  <c:v>3201.26</c:v>
                </c:pt>
                <c:pt idx="42">
                  <c:v>2030.65</c:v>
                </c:pt>
                <c:pt idx="43">
                  <c:v>860.04000000000008</c:v>
                </c:pt>
                <c:pt idx="44">
                  <c:v>2436.7799999999997</c:v>
                </c:pt>
                <c:pt idx="45">
                  <c:v>1051.1600000000001</c:v>
                </c:pt>
                <c:pt idx="46">
                  <c:v>3440.1600000000003</c:v>
                </c:pt>
                <c:pt idx="47">
                  <c:v>5829.16</c:v>
                </c:pt>
                <c:pt idx="48">
                  <c:v>6975.88</c:v>
                </c:pt>
                <c:pt idx="49">
                  <c:v>6306.9600000000009</c:v>
                </c:pt>
                <c:pt idx="50">
                  <c:v>3201.26</c:v>
                </c:pt>
                <c:pt idx="51">
                  <c:v>2508.4499999999998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F-4209-AD13-577474CA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Rawdata!$G$522:$G$573</c:f>
              <c:numCache>
                <c:formatCode>0.00</c:formatCode>
                <c:ptCount val="52"/>
                <c:pt idx="0">
                  <c:v>-4.2594119396362311</c:v>
                </c:pt>
                <c:pt idx="1">
                  <c:v>-4.4579865284489193</c:v>
                </c:pt>
                <c:pt idx="2">
                  <c:v>-3.9406100854605621</c:v>
                </c:pt>
                <c:pt idx="3">
                  <c:v>-3.6371566723436448</c:v>
                </c:pt>
                <c:pt idx="4">
                  <c:v>-5.3282040048744763</c:v>
                </c:pt>
                <c:pt idx="5">
                  <c:v>-2.150482052908739</c:v>
                </c:pt>
                <c:pt idx="6">
                  <c:v>-5.2063530002660388</c:v>
                </c:pt>
                <c:pt idx="7">
                  <c:v>-4.0527760336391374</c:v>
                </c:pt>
                <c:pt idx="8">
                  <c:v>-5.0154385547627669</c:v>
                </c:pt>
                <c:pt idx="9">
                  <c:v>-6.2996295834032798</c:v>
                </c:pt>
                <c:pt idx="10">
                  <c:v>-6.617772315896489</c:v>
                </c:pt>
                <c:pt idx="11">
                  <c:v>-6.4258938682022384</c:v>
                </c:pt>
                <c:pt idx="12">
                  <c:v>-5.7032840686856359</c:v>
                </c:pt>
                <c:pt idx="13">
                  <c:v>-3.645596279748792</c:v>
                </c:pt>
                <c:pt idx="14">
                  <c:v>-4.1659137512689606</c:v>
                </c:pt>
                <c:pt idx="15">
                  <c:v>-3.7336495085871682</c:v>
                </c:pt>
                <c:pt idx="16">
                  <c:v>-3.385204908105377</c:v>
                </c:pt>
                <c:pt idx="17">
                  <c:v>-3.9059098007986588</c:v>
                </c:pt>
                <c:pt idx="18">
                  <c:v>-1.2470292755661867</c:v>
                </c:pt>
                <c:pt idx="19">
                  <c:v>-3.8488080524321338</c:v>
                </c:pt>
                <c:pt idx="20">
                  <c:v>-3.3432315968994075</c:v>
                </c:pt>
                <c:pt idx="21">
                  <c:v>-4.541968717540545</c:v>
                </c:pt>
                <c:pt idx="22">
                  <c:v>-5.1180428933758071</c:v>
                </c:pt>
                <c:pt idx="23">
                  <c:v>-4.6477198615195761</c:v>
                </c:pt>
                <c:pt idx="24">
                  <c:v>-6.2359483862976246</c:v>
                </c:pt>
                <c:pt idx="25">
                  <c:v>-4.8574600479167325</c:v>
                </c:pt>
                <c:pt idx="26">
                  <c:v>-4.6135695246589838</c:v>
                </c:pt>
                <c:pt idx="27">
                  <c:v>-5.0256898248963608</c:v>
                </c:pt>
                <c:pt idx="28">
                  <c:v>-4.818019440539735</c:v>
                </c:pt>
                <c:pt idx="29">
                  <c:v>-4.6576729476800773</c:v>
                </c:pt>
                <c:pt idx="30">
                  <c:v>-4.7219184446584297</c:v>
                </c:pt>
                <c:pt idx="31">
                  <c:v>-1.8666004147280111</c:v>
                </c:pt>
                <c:pt idx="32">
                  <c:v>-5.1314934309330047</c:v>
                </c:pt>
                <c:pt idx="33">
                  <c:v>-4.4261215923251891</c:v>
                </c:pt>
                <c:pt idx="34">
                  <c:v>-4.1684383577205208</c:v>
                </c:pt>
                <c:pt idx="35">
                  <c:v>-5.3211886764038532</c:v>
                </c:pt>
                <c:pt idx="36">
                  <c:v>-5.9997457658046516</c:v>
                </c:pt>
                <c:pt idx="37">
                  <c:v>-6.395740830031551</c:v>
                </c:pt>
                <c:pt idx="38">
                  <c:v>-4.291543041904581</c:v>
                </c:pt>
                <c:pt idx="39">
                  <c:v>-4.9480162390158764</c:v>
                </c:pt>
                <c:pt idx="40">
                  <c:v>-4.7220826018948214</c:v>
                </c:pt>
                <c:pt idx="41">
                  <c:v>-4.7241937271303751</c:v>
                </c:pt>
                <c:pt idx="42">
                  <c:v>-3.8877029334336051</c:v>
                </c:pt>
                <c:pt idx="43">
                  <c:v>-5.6917274818979626</c:v>
                </c:pt>
                <c:pt idx="44">
                  <c:v>-1.8920933877027137</c:v>
                </c:pt>
                <c:pt idx="45">
                  <c:v>-4.5440407394831004</c:v>
                </c:pt>
                <c:pt idx="46">
                  <c:v>-5.1454711452791591</c:v>
                </c:pt>
                <c:pt idx="47">
                  <c:v>-5.1371354897402872</c:v>
                </c:pt>
                <c:pt idx="48">
                  <c:v>-6.2154849068957265</c:v>
                </c:pt>
                <c:pt idx="49">
                  <c:v>-4.3244404283829265</c:v>
                </c:pt>
                <c:pt idx="50">
                  <c:v>-5.3995597250107741</c:v>
                </c:pt>
              </c:numCache>
            </c:numRef>
          </c:xVal>
          <c:yVal>
            <c:numRef>
              <c:f>Rawdata!$I$522:$I$573</c:f>
              <c:numCache>
                <c:formatCode>#,##0.0;[Red]\-#,##0.0</c:formatCode>
                <c:ptCount val="52"/>
                <c:pt idx="0">
                  <c:v>1027.27</c:v>
                </c:pt>
                <c:pt idx="1">
                  <c:v>1767.8600000000001</c:v>
                </c:pt>
                <c:pt idx="2">
                  <c:v>1146.72</c:v>
                </c:pt>
                <c:pt idx="3">
                  <c:v>477.8</c:v>
                </c:pt>
                <c:pt idx="4">
                  <c:v>2221.7700000000004</c:v>
                </c:pt>
                <c:pt idx="5">
                  <c:v>334.46</c:v>
                </c:pt>
                <c:pt idx="6">
                  <c:v>2030.65</c:v>
                </c:pt>
                <c:pt idx="7">
                  <c:v>1648.4100000000003</c:v>
                </c:pt>
                <c:pt idx="8">
                  <c:v>2197.88</c:v>
                </c:pt>
                <c:pt idx="9">
                  <c:v>4586.88</c:v>
                </c:pt>
                <c:pt idx="10">
                  <c:v>4347.9800000000005</c:v>
                </c:pt>
                <c:pt idx="11">
                  <c:v>4276.3099999999995</c:v>
                </c:pt>
                <c:pt idx="12">
                  <c:v>4443.5400000000009</c:v>
                </c:pt>
                <c:pt idx="13">
                  <c:v>1027.27</c:v>
                </c:pt>
                <c:pt idx="14">
                  <c:v>1767.8600000000001</c:v>
                </c:pt>
                <c:pt idx="15">
                  <c:v>1146.72</c:v>
                </c:pt>
                <c:pt idx="16">
                  <c:v>477.8</c:v>
                </c:pt>
                <c:pt idx="17">
                  <c:v>2221.7700000000004</c:v>
                </c:pt>
                <c:pt idx="18">
                  <c:v>334.46</c:v>
                </c:pt>
                <c:pt idx="19">
                  <c:v>2030.65</c:v>
                </c:pt>
                <c:pt idx="20">
                  <c:v>1648.4100000000003</c:v>
                </c:pt>
                <c:pt idx="21">
                  <c:v>2197.88</c:v>
                </c:pt>
                <c:pt idx="22">
                  <c:v>4586.88</c:v>
                </c:pt>
                <c:pt idx="23">
                  <c:v>4347.9800000000005</c:v>
                </c:pt>
                <c:pt idx="24">
                  <c:v>4276.3099999999995</c:v>
                </c:pt>
                <c:pt idx="25">
                  <c:v>4443.5400000000009</c:v>
                </c:pt>
                <c:pt idx="26">
                  <c:v>1027.27</c:v>
                </c:pt>
                <c:pt idx="27">
                  <c:v>1767.8600000000001</c:v>
                </c:pt>
                <c:pt idx="28">
                  <c:v>1146.72</c:v>
                </c:pt>
                <c:pt idx="29">
                  <c:v>477.8</c:v>
                </c:pt>
                <c:pt idx="30">
                  <c:v>2221.7700000000004</c:v>
                </c:pt>
                <c:pt idx="31">
                  <c:v>334.46</c:v>
                </c:pt>
                <c:pt idx="32">
                  <c:v>2030.65</c:v>
                </c:pt>
                <c:pt idx="33">
                  <c:v>1648.4100000000003</c:v>
                </c:pt>
                <c:pt idx="34">
                  <c:v>2197.88</c:v>
                </c:pt>
                <c:pt idx="35">
                  <c:v>4586.88</c:v>
                </c:pt>
                <c:pt idx="36">
                  <c:v>4347.9800000000005</c:v>
                </c:pt>
                <c:pt idx="37">
                  <c:v>4276.3099999999995</c:v>
                </c:pt>
                <c:pt idx="38">
                  <c:v>4443.5400000000009</c:v>
                </c:pt>
                <c:pt idx="39">
                  <c:v>1027.27</c:v>
                </c:pt>
                <c:pt idx="40">
                  <c:v>1767.8600000000001</c:v>
                </c:pt>
                <c:pt idx="41">
                  <c:v>1146.72</c:v>
                </c:pt>
                <c:pt idx="42">
                  <c:v>477.8</c:v>
                </c:pt>
                <c:pt idx="43">
                  <c:v>2221.7700000000004</c:v>
                </c:pt>
                <c:pt idx="44">
                  <c:v>334.46</c:v>
                </c:pt>
                <c:pt idx="45">
                  <c:v>2030.65</c:v>
                </c:pt>
                <c:pt idx="46">
                  <c:v>1648.4100000000003</c:v>
                </c:pt>
                <c:pt idx="47">
                  <c:v>2197.88</c:v>
                </c:pt>
                <c:pt idx="48">
                  <c:v>4586.88</c:v>
                </c:pt>
                <c:pt idx="49">
                  <c:v>4347.9800000000005</c:v>
                </c:pt>
                <c:pt idx="50">
                  <c:v>4276.3099999999995</c:v>
                </c:pt>
                <c:pt idx="51">
                  <c:v>4443.5400000000009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A-4790-8AE3-01575B8FD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Rawdata!$G$574:$G$625</c:f>
              <c:numCache>
                <c:formatCode>0.00</c:formatCode>
                <c:ptCount val="52"/>
                <c:pt idx="0">
                  <c:v>-4.0533745973085207</c:v>
                </c:pt>
                <c:pt idx="1">
                  <c:v>-4.6244441323309049</c:v>
                </c:pt>
                <c:pt idx="2">
                  <c:v>-3.9763316930432979</c:v>
                </c:pt>
                <c:pt idx="3">
                  <c:v>-3.2250790837032066</c:v>
                </c:pt>
                <c:pt idx="4">
                  <c:v>-4.2295917162063663</c:v>
                </c:pt>
                <c:pt idx="5">
                  <c:v>-1.2911770757782768</c:v>
                </c:pt>
                <c:pt idx="6">
                  <c:v>-4.0523532456777147</c:v>
                </c:pt>
                <c:pt idx="7">
                  <c:v>-3.2051754273442601</c:v>
                </c:pt>
                <c:pt idx="8">
                  <c:v>-3.6445398791208499</c:v>
                </c:pt>
                <c:pt idx="9">
                  <c:v>-4.9433616911158165</c:v>
                </c:pt>
                <c:pt idx="10">
                  <c:v>-6.8709682122771012</c:v>
                </c:pt>
                <c:pt idx="11">
                  <c:v>-4.7618518217332859</c:v>
                </c:pt>
                <c:pt idx="12">
                  <c:v>-5.2740487412435595</c:v>
                </c:pt>
                <c:pt idx="13">
                  <c:v>-3.7939361894919141</c:v>
                </c:pt>
                <c:pt idx="14">
                  <c:v>-4.3657185065753152</c:v>
                </c:pt>
                <c:pt idx="15">
                  <c:v>-3.7984402683438092</c:v>
                </c:pt>
                <c:pt idx="16">
                  <c:v>-3.2995068205128684</c:v>
                </c:pt>
                <c:pt idx="17">
                  <c:v>-3.829817307255388</c:v>
                </c:pt>
                <c:pt idx="18">
                  <c:v>-1.0887190016045034</c:v>
                </c:pt>
                <c:pt idx="19">
                  <c:v>-3.7770689552771572</c:v>
                </c:pt>
                <c:pt idx="20">
                  <c:v>-3.3474104579743744</c:v>
                </c:pt>
                <c:pt idx="21">
                  <c:v>-4.194680249610176</c:v>
                </c:pt>
                <c:pt idx="22">
                  <c:v>-5.4528771279927817</c:v>
                </c:pt>
                <c:pt idx="23">
                  <c:v>-5.0991808762359607</c:v>
                </c:pt>
                <c:pt idx="24">
                  <c:v>-5.1192171350470392</c:v>
                </c:pt>
                <c:pt idx="25">
                  <c:v>-4.1094308872682337</c:v>
                </c:pt>
                <c:pt idx="26">
                  <c:v>-4.6630290125322507</c:v>
                </c:pt>
                <c:pt idx="27">
                  <c:v>-5.3325010672571374</c:v>
                </c:pt>
                <c:pt idx="28">
                  <c:v>-4.4765646325740578</c:v>
                </c:pt>
                <c:pt idx="29">
                  <c:v>-3.7739465250871955</c:v>
                </c:pt>
                <c:pt idx="30">
                  <c:v>-5.0421707374128788</c:v>
                </c:pt>
                <c:pt idx="31">
                  <c:v>-1.0882576466627882</c:v>
                </c:pt>
                <c:pt idx="32">
                  <c:v>-4.4892046676065505</c:v>
                </c:pt>
                <c:pt idx="33">
                  <c:v>-3.7955444283301429</c:v>
                </c:pt>
                <c:pt idx="34">
                  <c:v>-4.9144626374227647</c:v>
                </c:pt>
                <c:pt idx="35">
                  <c:v>-3.9356119328246257</c:v>
                </c:pt>
                <c:pt idx="36">
                  <c:v>-5.7014815840223338</c:v>
                </c:pt>
                <c:pt idx="37">
                  <c:v>-5.2087429714957478</c:v>
                </c:pt>
                <c:pt idx="38">
                  <c:v>-4.8269565936233176</c:v>
                </c:pt>
                <c:pt idx="39">
                  <c:v>-4.635296142758242</c:v>
                </c:pt>
                <c:pt idx="40">
                  <c:v>-5.0528987586637681</c:v>
                </c:pt>
                <c:pt idx="41">
                  <c:v>-4.6360864596201079</c:v>
                </c:pt>
                <c:pt idx="42">
                  <c:v>-3.4745122352121518</c:v>
                </c:pt>
                <c:pt idx="43">
                  <c:v>-4.4308727632499654</c:v>
                </c:pt>
                <c:pt idx="44">
                  <c:v>-1.3089299850194587</c:v>
                </c:pt>
                <c:pt idx="45">
                  <c:v>-4.1564094256528463</c:v>
                </c:pt>
                <c:pt idx="46">
                  <c:v>-3.3967661086343237</c:v>
                </c:pt>
                <c:pt idx="47">
                  <c:v>-5.5022493023248842</c:v>
                </c:pt>
                <c:pt idx="48">
                  <c:v>-5.5032233303124656</c:v>
                </c:pt>
                <c:pt idx="49">
                  <c:v>-5.7014815840223338</c:v>
                </c:pt>
                <c:pt idx="50">
                  <c:v>-6.1745794399213327</c:v>
                </c:pt>
                <c:pt idx="51">
                  <c:v>-4.4330024039812939</c:v>
                </c:pt>
              </c:numCache>
            </c:numRef>
          </c:xVal>
          <c:yVal>
            <c:numRef>
              <c:f>Rawdata!$I$574:$I$625</c:f>
              <c:numCache>
                <c:formatCode>#,##0.0;[Red]\-#,##0.0</c:formatCode>
                <c:ptCount val="52"/>
                <c:pt idx="0">
                  <c:v>1481.18</c:v>
                </c:pt>
                <c:pt idx="1">
                  <c:v>2030.65</c:v>
                </c:pt>
                <c:pt idx="2">
                  <c:v>1457.29</c:v>
                </c:pt>
                <c:pt idx="3">
                  <c:v>406.13000000000005</c:v>
                </c:pt>
                <c:pt idx="4">
                  <c:v>2054.54</c:v>
                </c:pt>
                <c:pt idx="5">
                  <c:v>143.34</c:v>
                </c:pt>
                <c:pt idx="6">
                  <c:v>1791.75</c:v>
                </c:pt>
                <c:pt idx="7">
                  <c:v>1552.8500000000001</c:v>
                </c:pt>
                <c:pt idx="8">
                  <c:v>2436.7799999999997</c:v>
                </c:pt>
                <c:pt idx="9">
                  <c:v>4634.66</c:v>
                </c:pt>
                <c:pt idx="10">
                  <c:v>4610.7700000000004</c:v>
                </c:pt>
                <c:pt idx="11">
                  <c:v>4395.76</c:v>
                </c:pt>
                <c:pt idx="12">
                  <c:v>4252.42</c:v>
                </c:pt>
                <c:pt idx="13">
                  <c:v>1481.18</c:v>
                </c:pt>
                <c:pt idx="14">
                  <c:v>2030.65</c:v>
                </c:pt>
                <c:pt idx="15">
                  <c:v>1457.29</c:v>
                </c:pt>
                <c:pt idx="16">
                  <c:v>406.13000000000005</c:v>
                </c:pt>
                <c:pt idx="17">
                  <c:v>2054.54</c:v>
                </c:pt>
                <c:pt idx="18">
                  <c:v>143.34</c:v>
                </c:pt>
                <c:pt idx="19">
                  <c:v>1791.75</c:v>
                </c:pt>
                <c:pt idx="20">
                  <c:v>1552.8500000000001</c:v>
                </c:pt>
                <c:pt idx="21">
                  <c:v>2436.7799999999997</c:v>
                </c:pt>
                <c:pt idx="22">
                  <c:v>4634.66</c:v>
                </c:pt>
                <c:pt idx="23">
                  <c:v>4610.7700000000004</c:v>
                </c:pt>
                <c:pt idx="24">
                  <c:v>4395.76</c:v>
                </c:pt>
                <c:pt idx="25">
                  <c:v>4252.42</c:v>
                </c:pt>
                <c:pt idx="26">
                  <c:v>1481.18</c:v>
                </c:pt>
                <c:pt idx="27">
                  <c:v>2030.65</c:v>
                </c:pt>
                <c:pt idx="28">
                  <c:v>1457.29</c:v>
                </c:pt>
                <c:pt idx="29">
                  <c:v>406.13000000000005</c:v>
                </c:pt>
                <c:pt idx="30">
                  <c:v>2054.54</c:v>
                </c:pt>
                <c:pt idx="31">
                  <c:v>143.34</c:v>
                </c:pt>
                <c:pt idx="32">
                  <c:v>1791.75</c:v>
                </c:pt>
                <c:pt idx="33">
                  <c:v>1552.8500000000001</c:v>
                </c:pt>
                <c:pt idx="34">
                  <c:v>2436.7799999999997</c:v>
                </c:pt>
                <c:pt idx="35">
                  <c:v>4634.66</c:v>
                </c:pt>
                <c:pt idx="36">
                  <c:v>4610.7700000000004</c:v>
                </c:pt>
                <c:pt idx="37">
                  <c:v>4395.76</c:v>
                </c:pt>
                <c:pt idx="38">
                  <c:v>4252.42</c:v>
                </c:pt>
                <c:pt idx="39">
                  <c:v>1481.18</c:v>
                </c:pt>
                <c:pt idx="40">
                  <c:v>2030.65</c:v>
                </c:pt>
                <c:pt idx="41">
                  <c:v>1457.29</c:v>
                </c:pt>
                <c:pt idx="42">
                  <c:v>406.13000000000005</c:v>
                </c:pt>
                <c:pt idx="43">
                  <c:v>2054.54</c:v>
                </c:pt>
                <c:pt idx="44">
                  <c:v>143.34</c:v>
                </c:pt>
                <c:pt idx="45">
                  <c:v>1791.75</c:v>
                </c:pt>
                <c:pt idx="46">
                  <c:v>1552.8500000000001</c:v>
                </c:pt>
                <c:pt idx="47">
                  <c:v>2436.7799999999997</c:v>
                </c:pt>
                <c:pt idx="48">
                  <c:v>4634.66</c:v>
                </c:pt>
                <c:pt idx="49">
                  <c:v>4610.7700000000004</c:v>
                </c:pt>
                <c:pt idx="50">
                  <c:v>4395.76</c:v>
                </c:pt>
                <c:pt idx="51">
                  <c:v>4252.42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D-4B62-A51D-6C4D030F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Rawdata!$G$626:$G$677</c:f>
              <c:numCache>
                <c:formatCode>0.00</c:formatCode>
                <c:ptCount val="52"/>
                <c:pt idx="0">
                  <c:v>-4.429289896951448</c:v>
                </c:pt>
                <c:pt idx="1">
                  <c:v>-1.9719369362053931</c:v>
                </c:pt>
                <c:pt idx="2">
                  <c:v>-2.2743455534857113</c:v>
                </c:pt>
                <c:pt idx="3">
                  <c:v>-3.9053654888074192</c:v>
                </c:pt>
                <c:pt idx="4">
                  <c:v>-4.3546084301964623</c:v>
                </c:pt>
                <c:pt idx="5">
                  <c:v>-4.9028055483412922</c:v>
                </c:pt>
                <c:pt idx="6">
                  <c:v>-5.9725498530085499</c:v>
                </c:pt>
                <c:pt idx="7">
                  <c:v>-5.0758884772549093</c:v>
                </c:pt>
                <c:pt idx="8">
                  <c:v>-4.0782564638572358</c:v>
                </c:pt>
                <c:pt idx="9">
                  <c:v>-4.0897626126518842</c:v>
                </c:pt>
                <c:pt idx="10">
                  <c:v>-3.514248274049685</c:v>
                </c:pt>
                <c:pt idx="11">
                  <c:v>-4.3419979761730225</c:v>
                </c:pt>
                <c:pt idx="12">
                  <c:v>-4.7787797382740917</c:v>
                </c:pt>
                <c:pt idx="13">
                  <c:v>-4.3338264252023144</c:v>
                </c:pt>
                <c:pt idx="14">
                  <c:v>-1.3081717669596804</c:v>
                </c:pt>
                <c:pt idx="15">
                  <c:v>-2.3171950862355892</c:v>
                </c:pt>
                <c:pt idx="16">
                  <c:v>-3.4846210668916848</c:v>
                </c:pt>
                <c:pt idx="17">
                  <c:v>-4.0396114786513495</c:v>
                </c:pt>
                <c:pt idx="18">
                  <c:v>-4.5295327129935217</c:v>
                </c:pt>
                <c:pt idx="19">
                  <c:v>-4.8207876901668776</c:v>
                </c:pt>
                <c:pt idx="20">
                  <c:v>-3.7821957033394997</c:v>
                </c:pt>
                <c:pt idx="21">
                  <c:v>-3.5502239105239628</c:v>
                </c:pt>
                <c:pt idx="22">
                  <c:v>-3.8239896559428233</c:v>
                </c:pt>
                <c:pt idx="23">
                  <c:v>-2.9788020729041649</c:v>
                </c:pt>
                <c:pt idx="24">
                  <c:v>-4.2662134057608236</c:v>
                </c:pt>
                <c:pt idx="25">
                  <c:v>-5.0075628841305173</c:v>
                </c:pt>
                <c:pt idx="26">
                  <c:v>-4.4316535651125291</c:v>
                </c:pt>
                <c:pt idx="27">
                  <c:v>-2.091273201337474</c:v>
                </c:pt>
                <c:pt idx="28">
                  <c:v>-2.363283668385098</c:v>
                </c:pt>
                <c:pt idx="29">
                  <c:v>-4.7134276062447693</c:v>
                </c:pt>
                <c:pt idx="30">
                  <c:v>-4.7005843021834384</c:v>
                </c:pt>
                <c:pt idx="31">
                  <c:v>-4.3204797387785661</c:v>
                </c:pt>
                <c:pt idx="32">
                  <c:v>-5.6195401544681136</c:v>
                </c:pt>
                <c:pt idx="33">
                  <c:v>-4.7286922772707207</c:v>
                </c:pt>
                <c:pt idx="34">
                  <c:v>-3.7567408507475846</c:v>
                </c:pt>
                <c:pt idx="35">
                  <c:v>-3.9732832367387525</c:v>
                </c:pt>
                <c:pt idx="36">
                  <c:v>-3.1074058907607007</c:v>
                </c:pt>
                <c:pt idx="37">
                  <c:v>-4.4505381447482284</c:v>
                </c:pt>
                <c:pt idx="38">
                  <c:v>-5.0576392221106943</c:v>
                </c:pt>
                <c:pt idx="39">
                  <c:v>-4.5005739964531193</c:v>
                </c:pt>
                <c:pt idx="40">
                  <c:v>-1.9820700500896524</c:v>
                </c:pt>
                <c:pt idx="41">
                  <c:v>-2.6372464680955208</c:v>
                </c:pt>
                <c:pt idx="42">
                  <c:v>-4.2215065386744453</c:v>
                </c:pt>
                <c:pt idx="43">
                  <c:v>-4.4328895706562701</c:v>
                </c:pt>
                <c:pt idx="44">
                  <c:v>-4.3478972625729657</c:v>
                </c:pt>
                <c:pt idx="45">
                  <c:v>-6.0354636784191191</c:v>
                </c:pt>
                <c:pt idx="46">
                  <c:v>-4.2380693608222497</c:v>
                </c:pt>
                <c:pt idx="47">
                  <c:v>-3.6500203135928371</c:v>
                </c:pt>
                <c:pt idx="48">
                  <c:v>-4.1092135430067138</c:v>
                </c:pt>
                <c:pt idx="49">
                  <c:v>-3.2743527349011452</c:v>
                </c:pt>
                <c:pt idx="50">
                  <c:v>-4.3337778856256746</c:v>
                </c:pt>
                <c:pt idx="51">
                  <c:v>-4.4417233894867385</c:v>
                </c:pt>
              </c:numCache>
            </c:numRef>
          </c:xVal>
          <c:yVal>
            <c:numRef>
              <c:f>Rawdata!$I$626:$I$677</c:f>
              <c:numCache>
                <c:formatCode>#,##0.0;[Red]\-#,##0.0</c:formatCode>
                <c:ptCount val="52"/>
                <c:pt idx="0">
                  <c:v>2484.56</c:v>
                </c:pt>
                <c:pt idx="1">
                  <c:v>1385.62</c:v>
                </c:pt>
                <c:pt idx="2">
                  <c:v>1528.96</c:v>
                </c:pt>
                <c:pt idx="3">
                  <c:v>3034.0299999999997</c:v>
                </c:pt>
                <c:pt idx="4">
                  <c:v>4013.5200000000004</c:v>
                </c:pt>
                <c:pt idx="5">
                  <c:v>3057.92</c:v>
                </c:pt>
                <c:pt idx="6">
                  <c:v>4491.3200000000006</c:v>
                </c:pt>
                <c:pt idx="7">
                  <c:v>4156.8599999999997</c:v>
                </c:pt>
                <c:pt idx="8">
                  <c:v>2006.7600000000002</c:v>
                </c:pt>
                <c:pt idx="9">
                  <c:v>2914.58</c:v>
                </c:pt>
                <c:pt idx="10">
                  <c:v>1887.31</c:v>
                </c:pt>
                <c:pt idx="11">
                  <c:v>4610.7700000000004</c:v>
                </c:pt>
                <c:pt idx="12">
                  <c:v>4037.41</c:v>
                </c:pt>
                <c:pt idx="13">
                  <c:v>2484.56</c:v>
                </c:pt>
                <c:pt idx="14">
                  <c:v>1385.62</c:v>
                </c:pt>
                <c:pt idx="15">
                  <c:v>1528.96</c:v>
                </c:pt>
                <c:pt idx="16">
                  <c:v>3034.0299999999997</c:v>
                </c:pt>
                <c:pt idx="17">
                  <c:v>4013.5200000000004</c:v>
                </c:pt>
                <c:pt idx="18">
                  <c:v>3057.92</c:v>
                </c:pt>
                <c:pt idx="19">
                  <c:v>4491.3200000000006</c:v>
                </c:pt>
                <c:pt idx="20">
                  <c:v>4156.8599999999997</c:v>
                </c:pt>
                <c:pt idx="21">
                  <c:v>2006.7600000000002</c:v>
                </c:pt>
                <c:pt idx="22">
                  <c:v>2914.58</c:v>
                </c:pt>
                <c:pt idx="23">
                  <c:v>1887.31</c:v>
                </c:pt>
                <c:pt idx="24">
                  <c:v>4610.7700000000004</c:v>
                </c:pt>
                <c:pt idx="25">
                  <c:v>4037.41</c:v>
                </c:pt>
                <c:pt idx="26">
                  <c:v>2484.56</c:v>
                </c:pt>
                <c:pt idx="27">
                  <c:v>1385.62</c:v>
                </c:pt>
                <c:pt idx="28">
                  <c:v>1528.96</c:v>
                </c:pt>
                <c:pt idx="29">
                  <c:v>3034.0299999999997</c:v>
                </c:pt>
                <c:pt idx="30">
                  <c:v>4013.5200000000004</c:v>
                </c:pt>
                <c:pt idx="31">
                  <c:v>3057.92</c:v>
                </c:pt>
                <c:pt idx="32">
                  <c:v>4491.3200000000006</c:v>
                </c:pt>
                <c:pt idx="33">
                  <c:v>4156.8599999999997</c:v>
                </c:pt>
                <c:pt idx="34">
                  <c:v>2006.7600000000002</c:v>
                </c:pt>
                <c:pt idx="35">
                  <c:v>2914.58</c:v>
                </c:pt>
                <c:pt idx="36">
                  <c:v>1887.31</c:v>
                </c:pt>
                <c:pt idx="37">
                  <c:v>4610.7700000000004</c:v>
                </c:pt>
                <c:pt idx="38">
                  <c:v>4037.41</c:v>
                </c:pt>
                <c:pt idx="39">
                  <c:v>2484.56</c:v>
                </c:pt>
                <c:pt idx="40">
                  <c:v>1385.62</c:v>
                </c:pt>
                <c:pt idx="41">
                  <c:v>1528.96</c:v>
                </c:pt>
                <c:pt idx="42">
                  <c:v>3034.0299999999997</c:v>
                </c:pt>
                <c:pt idx="43">
                  <c:v>4013.5200000000004</c:v>
                </c:pt>
                <c:pt idx="44">
                  <c:v>3057.92</c:v>
                </c:pt>
                <c:pt idx="45">
                  <c:v>4491.3200000000006</c:v>
                </c:pt>
                <c:pt idx="46">
                  <c:v>4156.8599999999997</c:v>
                </c:pt>
                <c:pt idx="47">
                  <c:v>2006.7600000000002</c:v>
                </c:pt>
                <c:pt idx="48">
                  <c:v>2914.58</c:v>
                </c:pt>
                <c:pt idx="49">
                  <c:v>1887.31</c:v>
                </c:pt>
                <c:pt idx="50">
                  <c:v>4610.7700000000004</c:v>
                </c:pt>
                <c:pt idx="51">
                  <c:v>4037.41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2-45FB-9347-1A16B8B7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Rawdata!$G$678:$G$729</c:f>
              <c:numCache>
                <c:formatCode>0.00</c:formatCode>
                <c:ptCount val="52"/>
                <c:pt idx="0">
                  <c:v>-4.4192226978337246</c:v>
                </c:pt>
                <c:pt idx="1">
                  <c:v>-3.9369506770781881</c:v>
                </c:pt>
                <c:pt idx="2">
                  <c:v>-4.2209519665631428</c:v>
                </c:pt>
                <c:pt idx="3">
                  <c:v>-1.9642903221422126</c:v>
                </c:pt>
                <c:pt idx="4">
                  <c:v>-2.9195831711905682</c:v>
                </c:pt>
                <c:pt idx="5">
                  <c:v>-3.8298227525210531</c:v>
                </c:pt>
                <c:pt idx="6">
                  <c:v>-4.2298854724834678</c:v>
                </c:pt>
                <c:pt idx="7">
                  <c:v>-4.7773574492520021</c:v>
                </c:pt>
                <c:pt idx="8">
                  <c:v>-4.8261965551242385</c:v>
                </c:pt>
                <c:pt idx="9">
                  <c:v>-4.8841841219062418</c:v>
                </c:pt>
                <c:pt idx="10">
                  <c:v>-6.0285247303546958</c:v>
                </c:pt>
                <c:pt idx="11">
                  <c:v>-3.8123038681026489</c:v>
                </c:pt>
                <c:pt idx="12">
                  <c:v>-4.7386942111984416</c:v>
                </c:pt>
                <c:pt idx="13">
                  <c:v>-4.6026801248597158</c:v>
                </c:pt>
                <c:pt idx="14">
                  <c:v>-4.2760130831536189</c:v>
                </c:pt>
                <c:pt idx="15">
                  <c:v>-3.4467558931659048</c:v>
                </c:pt>
                <c:pt idx="16">
                  <c:v>-1.6125820858970121</c:v>
                </c:pt>
                <c:pt idx="17">
                  <c:v>-2.8586535398075403</c:v>
                </c:pt>
                <c:pt idx="18">
                  <c:v>-3.4791140586352349</c:v>
                </c:pt>
                <c:pt idx="19">
                  <c:v>-4.2360035704905545</c:v>
                </c:pt>
                <c:pt idx="20">
                  <c:v>-4.1271122902362656</c:v>
                </c:pt>
                <c:pt idx="21">
                  <c:v>-4.7659776951311841</c:v>
                </c:pt>
                <c:pt idx="22">
                  <c:v>-5.45451512999702</c:v>
                </c:pt>
                <c:pt idx="23">
                  <c:v>-5.0707698744031813</c:v>
                </c:pt>
                <c:pt idx="24">
                  <c:v>-3.2111080285855627</c:v>
                </c:pt>
                <c:pt idx="25">
                  <c:v>-4.9143582145203393</c:v>
                </c:pt>
                <c:pt idx="26">
                  <c:v>-5.073406036549275</c:v>
                </c:pt>
                <c:pt idx="27">
                  <c:v>-5.4245975324583666</c:v>
                </c:pt>
                <c:pt idx="28">
                  <c:v>-4.6489949118892699</c:v>
                </c:pt>
                <c:pt idx="29">
                  <c:v>-2.3389011609656642</c:v>
                </c:pt>
                <c:pt idx="30">
                  <c:v>-3.2411719046448511</c:v>
                </c:pt>
                <c:pt idx="31">
                  <c:v>-4.3778542223116528</c:v>
                </c:pt>
                <c:pt idx="32">
                  <c:v>-4.6903585715825731</c:v>
                </c:pt>
                <c:pt idx="33">
                  <c:v>-5.0901404999621107</c:v>
                </c:pt>
                <c:pt idx="34">
                  <c:v>-5.4876668790306136</c:v>
                </c:pt>
                <c:pt idx="35">
                  <c:v>-4.5461243733760206</c:v>
                </c:pt>
                <c:pt idx="36">
                  <c:v>-4.9396924707402254</c:v>
                </c:pt>
                <c:pt idx="37">
                  <c:v>-3.3343877004836542</c:v>
                </c:pt>
                <c:pt idx="38">
                  <c:v>-5.4822045015922773</c:v>
                </c:pt>
                <c:pt idx="39">
                  <c:v>-5.3764049870259782</c:v>
                </c:pt>
                <c:pt idx="40">
                  <c:v>-5.5841221029296833</c:v>
                </c:pt>
                <c:pt idx="41">
                  <c:v>-4.1868964621506475</c:v>
                </c:pt>
                <c:pt idx="42">
                  <c:v>-2.2386988250305571</c:v>
                </c:pt>
                <c:pt idx="43">
                  <c:v>-3.1466609591051644</c:v>
                </c:pt>
                <c:pt idx="44">
                  <c:v>-4.1454187556282163</c:v>
                </c:pt>
                <c:pt idx="45">
                  <c:v>-4.4848662660079519</c:v>
                </c:pt>
                <c:pt idx="46">
                  <c:v>-5.0961393181913639</c:v>
                </c:pt>
                <c:pt idx="47">
                  <c:v>-5.7085857353227123</c:v>
                </c:pt>
                <c:pt idx="48">
                  <c:v>-5.5188350957845786</c:v>
                </c:pt>
                <c:pt idx="49">
                  <c:v>-5.9115530537691914</c:v>
                </c:pt>
                <c:pt idx="50">
                  <c:v>-3.7595163635005964</c:v>
                </c:pt>
                <c:pt idx="51">
                  <c:v>-5.2059511249641197</c:v>
                </c:pt>
              </c:numCache>
            </c:numRef>
          </c:xVal>
          <c:yVal>
            <c:numRef>
              <c:f>Rawdata!$I$678:$I$729</c:f>
              <c:numCache>
                <c:formatCode>#,##0.0;[Red]\-#,##0.0</c:formatCode>
                <c:ptCount val="52"/>
                <c:pt idx="0">
                  <c:v>2436.7799999999997</c:v>
                </c:pt>
                <c:pt idx="1">
                  <c:v>2484.56</c:v>
                </c:pt>
                <c:pt idx="2">
                  <c:v>1863.42</c:v>
                </c:pt>
                <c:pt idx="3">
                  <c:v>1194.5</c:v>
                </c:pt>
                <c:pt idx="4">
                  <c:v>1505.0700000000002</c:v>
                </c:pt>
                <c:pt idx="5">
                  <c:v>1696.19</c:v>
                </c:pt>
                <c:pt idx="6">
                  <c:v>2269.5500000000002</c:v>
                </c:pt>
                <c:pt idx="7">
                  <c:v>3057.92</c:v>
                </c:pt>
                <c:pt idx="8">
                  <c:v>3296.8200000000006</c:v>
                </c:pt>
                <c:pt idx="9">
                  <c:v>5399.14</c:v>
                </c:pt>
                <c:pt idx="10">
                  <c:v>4873.5599999999995</c:v>
                </c:pt>
                <c:pt idx="11">
                  <c:v>2604.0100000000002</c:v>
                </c:pt>
                <c:pt idx="12">
                  <c:v>3941.8500000000004</c:v>
                </c:pt>
                <c:pt idx="13">
                  <c:v>2436.7799999999997</c:v>
                </c:pt>
                <c:pt idx="14">
                  <c:v>2484.56</c:v>
                </c:pt>
                <c:pt idx="15">
                  <c:v>1863.42</c:v>
                </c:pt>
                <c:pt idx="16">
                  <c:v>1194.5</c:v>
                </c:pt>
                <c:pt idx="17">
                  <c:v>1505.0700000000002</c:v>
                </c:pt>
                <c:pt idx="18">
                  <c:v>1696.19</c:v>
                </c:pt>
                <c:pt idx="19">
                  <c:v>2269.5500000000002</c:v>
                </c:pt>
                <c:pt idx="20">
                  <c:v>3057.92</c:v>
                </c:pt>
                <c:pt idx="21">
                  <c:v>3296.8200000000006</c:v>
                </c:pt>
                <c:pt idx="22">
                  <c:v>5399.14</c:v>
                </c:pt>
                <c:pt idx="23">
                  <c:v>4873.5599999999995</c:v>
                </c:pt>
                <c:pt idx="24">
                  <c:v>2604.0100000000002</c:v>
                </c:pt>
                <c:pt idx="25">
                  <c:v>3941.8500000000004</c:v>
                </c:pt>
                <c:pt idx="26">
                  <c:v>2436.7799999999997</c:v>
                </c:pt>
                <c:pt idx="27">
                  <c:v>2484.56</c:v>
                </c:pt>
                <c:pt idx="28">
                  <c:v>1863.42</c:v>
                </c:pt>
                <c:pt idx="29">
                  <c:v>1194.5</c:v>
                </c:pt>
                <c:pt idx="30">
                  <c:v>1505.0700000000002</c:v>
                </c:pt>
                <c:pt idx="31">
                  <c:v>1696.19</c:v>
                </c:pt>
                <c:pt idx="32">
                  <c:v>2269.5500000000002</c:v>
                </c:pt>
                <c:pt idx="33">
                  <c:v>3057.92</c:v>
                </c:pt>
                <c:pt idx="34">
                  <c:v>3296.8200000000006</c:v>
                </c:pt>
                <c:pt idx="35">
                  <c:v>5399.14</c:v>
                </c:pt>
                <c:pt idx="36">
                  <c:v>4873.5599999999995</c:v>
                </c:pt>
                <c:pt idx="37">
                  <c:v>2604.0100000000002</c:v>
                </c:pt>
                <c:pt idx="38">
                  <c:v>3941.8500000000004</c:v>
                </c:pt>
                <c:pt idx="39">
                  <c:v>2436.7799999999997</c:v>
                </c:pt>
                <c:pt idx="40">
                  <c:v>2484.56</c:v>
                </c:pt>
                <c:pt idx="41">
                  <c:v>1863.42</c:v>
                </c:pt>
                <c:pt idx="42">
                  <c:v>1194.5</c:v>
                </c:pt>
                <c:pt idx="43">
                  <c:v>1505.0700000000002</c:v>
                </c:pt>
                <c:pt idx="44">
                  <c:v>1696.19</c:v>
                </c:pt>
                <c:pt idx="45">
                  <c:v>2269.5500000000002</c:v>
                </c:pt>
                <c:pt idx="46">
                  <c:v>3057.92</c:v>
                </c:pt>
                <c:pt idx="47">
                  <c:v>3296.8200000000006</c:v>
                </c:pt>
                <c:pt idx="48">
                  <c:v>5399.14</c:v>
                </c:pt>
                <c:pt idx="49">
                  <c:v>4873.5599999999995</c:v>
                </c:pt>
                <c:pt idx="50">
                  <c:v>2604.0100000000002</c:v>
                </c:pt>
                <c:pt idx="51">
                  <c:v>3941.8500000000004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8-4473-A0E6-EFBD3439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Rawdata!$G$730:$G$781</c:f>
              <c:numCache>
                <c:formatCode>0.00</c:formatCode>
                <c:ptCount val="52"/>
                <c:pt idx="0">
                  <c:v>-3.9392522086725963</c:v>
                </c:pt>
                <c:pt idx="1">
                  <c:v>-2.3096714541449743</c:v>
                </c:pt>
                <c:pt idx="2">
                  <c:v>-4.4575289412763173</c:v>
                </c:pt>
                <c:pt idx="3">
                  <c:v>-4.8611114279149543</c:v>
                </c:pt>
                <c:pt idx="4">
                  <c:v>-5.9019220588713699</c:v>
                </c:pt>
                <c:pt idx="5">
                  <c:v>-4.7460112819320397</c:v>
                </c:pt>
                <c:pt idx="6">
                  <c:v>-5.4284849177054042</c:v>
                </c:pt>
                <c:pt idx="7">
                  <c:v>-5.6101790869501835</c:v>
                </c:pt>
                <c:pt idx="8">
                  <c:v>-3.4609556032021804</c:v>
                </c:pt>
                <c:pt idx="9">
                  <c:v>-0.81557728107736582</c:v>
                </c:pt>
                <c:pt idx="10">
                  <c:v>-2.166029387258281</c:v>
                </c:pt>
                <c:pt idx="11">
                  <c:v>-4.5408361365861136</c:v>
                </c:pt>
                <c:pt idx="12">
                  <c:v>-5.9875356060406277</c:v>
                </c:pt>
                <c:pt idx="13">
                  <c:v>-4.0772801181620757</c:v>
                </c:pt>
                <c:pt idx="14">
                  <c:v>-2.2732366801113546</c:v>
                </c:pt>
                <c:pt idx="15">
                  <c:v>-3.8331772710375556</c:v>
                </c:pt>
                <c:pt idx="16">
                  <c:v>-4.9053691960001657</c:v>
                </c:pt>
                <c:pt idx="17">
                  <c:v>-4.6244053512230634</c:v>
                </c:pt>
                <c:pt idx="18">
                  <c:v>-4.8826865265336759</c:v>
                </c:pt>
                <c:pt idx="19">
                  <c:v>-4.9987136354877943</c:v>
                </c:pt>
                <c:pt idx="20">
                  <c:v>-4.6759417118851916</c:v>
                </c:pt>
                <c:pt idx="21">
                  <c:v>-3.2180238104936074</c:v>
                </c:pt>
                <c:pt idx="22">
                  <c:v>-1.2479158391247154</c:v>
                </c:pt>
                <c:pt idx="23">
                  <c:v>-1.493181966287972</c:v>
                </c:pt>
                <c:pt idx="24">
                  <c:v>-5.793211883392229</c:v>
                </c:pt>
                <c:pt idx="25">
                  <c:v>-4.3794684957403058</c:v>
                </c:pt>
                <c:pt idx="26">
                  <c:v>-4.5484229159380662</c:v>
                </c:pt>
                <c:pt idx="27">
                  <c:v>-2.7786730792988581</c:v>
                </c:pt>
                <c:pt idx="28">
                  <c:v>-4.3609192161299069</c:v>
                </c:pt>
                <c:pt idx="29">
                  <c:v>-5.0207650259394434</c:v>
                </c:pt>
                <c:pt idx="30">
                  <c:v>-5.123348577554415</c:v>
                </c:pt>
                <c:pt idx="31">
                  <c:v>-4.9166486824334896</c:v>
                </c:pt>
                <c:pt idx="32">
                  <c:v>-5.9795428884995205</c:v>
                </c:pt>
                <c:pt idx="33">
                  <c:v>-4.6288469423010046</c:v>
                </c:pt>
                <c:pt idx="34">
                  <c:v>-2.845274360109217</c:v>
                </c:pt>
                <c:pt idx="35">
                  <c:v>-1.0992154503758096</c:v>
                </c:pt>
                <c:pt idx="36">
                  <c:v>-1.358838833708168</c:v>
                </c:pt>
                <c:pt idx="37">
                  <c:v>-5.0892829272289948</c:v>
                </c:pt>
                <c:pt idx="38">
                  <c:v>-6.0153151701477032</c:v>
                </c:pt>
                <c:pt idx="39">
                  <c:v>-3.862520762302716</c:v>
                </c:pt>
                <c:pt idx="40">
                  <c:v>-2.7041796825474949</c:v>
                </c:pt>
                <c:pt idx="41">
                  <c:v>-4.3116793863916598</c:v>
                </c:pt>
                <c:pt idx="42">
                  <c:v>-4.6631606142327984</c:v>
                </c:pt>
                <c:pt idx="43">
                  <c:v>-5.3037927031947953</c:v>
                </c:pt>
                <c:pt idx="44">
                  <c:v>-4.8903313741161165</c:v>
                </c:pt>
                <c:pt idx="45">
                  <c:v>-5.6671682034573676</c:v>
                </c:pt>
                <c:pt idx="46">
                  <c:v>-4.9301966534814499</c:v>
                </c:pt>
                <c:pt idx="47">
                  <c:v>-2.937734632981472</c:v>
                </c:pt>
                <c:pt idx="48">
                  <c:v>-1.2949662846994596</c:v>
                </c:pt>
                <c:pt idx="49">
                  <c:v>-1.5123054253981996</c:v>
                </c:pt>
                <c:pt idx="50">
                  <c:v>-5.3959100859232247</c:v>
                </c:pt>
                <c:pt idx="51">
                  <c:v>-6.1113298233872921</c:v>
                </c:pt>
              </c:numCache>
            </c:numRef>
          </c:xVal>
          <c:yVal>
            <c:numRef>
              <c:f>Rawdata!$I$730:$I$781</c:f>
              <c:numCache>
                <c:formatCode>#,##0.0;[Red]\-#,##0.0</c:formatCode>
                <c:ptCount val="52"/>
                <c:pt idx="0">
                  <c:v>3129.59</c:v>
                </c:pt>
                <c:pt idx="1">
                  <c:v>2508.4499999999998</c:v>
                </c:pt>
                <c:pt idx="2">
                  <c:v>3201.26</c:v>
                </c:pt>
                <c:pt idx="3">
                  <c:v>4324.09</c:v>
                </c:pt>
                <c:pt idx="4">
                  <c:v>3726.84</c:v>
                </c:pt>
                <c:pt idx="5">
                  <c:v>4419.6499999999996</c:v>
                </c:pt>
                <c:pt idx="6">
                  <c:v>5900.8300000000008</c:v>
                </c:pt>
                <c:pt idx="7">
                  <c:v>5016.8999999999996</c:v>
                </c:pt>
                <c:pt idx="8">
                  <c:v>2627.9</c:v>
                </c:pt>
                <c:pt idx="9">
                  <c:v>931.71</c:v>
                </c:pt>
                <c:pt idx="10">
                  <c:v>1528.96</c:v>
                </c:pt>
                <c:pt idx="11">
                  <c:v>7286.4500000000007</c:v>
                </c:pt>
                <c:pt idx="12">
                  <c:v>8863.19</c:v>
                </c:pt>
                <c:pt idx="13">
                  <c:v>3129.59</c:v>
                </c:pt>
                <c:pt idx="14">
                  <c:v>2508.4499999999998</c:v>
                </c:pt>
                <c:pt idx="15">
                  <c:v>3201.26</c:v>
                </c:pt>
                <c:pt idx="16">
                  <c:v>4324.09</c:v>
                </c:pt>
                <c:pt idx="17">
                  <c:v>3726.84</c:v>
                </c:pt>
                <c:pt idx="18">
                  <c:v>4419.6499999999996</c:v>
                </c:pt>
                <c:pt idx="19">
                  <c:v>5900.8300000000008</c:v>
                </c:pt>
                <c:pt idx="20">
                  <c:v>5016.8999999999996</c:v>
                </c:pt>
                <c:pt idx="21">
                  <c:v>2627.9</c:v>
                </c:pt>
                <c:pt idx="22">
                  <c:v>931.71</c:v>
                </c:pt>
                <c:pt idx="23">
                  <c:v>1528.96</c:v>
                </c:pt>
                <c:pt idx="24">
                  <c:v>7286.4500000000007</c:v>
                </c:pt>
                <c:pt idx="25">
                  <c:v>8863.19</c:v>
                </c:pt>
                <c:pt idx="26">
                  <c:v>3129.59</c:v>
                </c:pt>
                <c:pt idx="27">
                  <c:v>2508.4499999999998</c:v>
                </c:pt>
                <c:pt idx="28">
                  <c:v>3201.26</c:v>
                </c:pt>
                <c:pt idx="29">
                  <c:v>4324.09</c:v>
                </c:pt>
                <c:pt idx="30">
                  <c:v>3726.84</c:v>
                </c:pt>
                <c:pt idx="31">
                  <c:v>4419.6499999999996</c:v>
                </c:pt>
                <c:pt idx="32">
                  <c:v>5900.8300000000008</c:v>
                </c:pt>
                <c:pt idx="33">
                  <c:v>5016.8999999999996</c:v>
                </c:pt>
                <c:pt idx="34">
                  <c:v>2627.9</c:v>
                </c:pt>
                <c:pt idx="35">
                  <c:v>931.71</c:v>
                </c:pt>
                <c:pt idx="36">
                  <c:v>1528.96</c:v>
                </c:pt>
                <c:pt idx="37">
                  <c:v>7286.4500000000007</c:v>
                </c:pt>
                <c:pt idx="38">
                  <c:v>8863.19</c:v>
                </c:pt>
                <c:pt idx="39">
                  <c:v>3129.59</c:v>
                </c:pt>
                <c:pt idx="40">
                  <c:v>2508.4499999999998</c:v>
                </c:pt>
                <c:pt idx="41">
                  <c:v>3201.26</c:v>
                </c:pt>
                <c:pt idx="42">
                  <c:v>4324.09</c:v>
                </c:pt>
                <c:pt idx="43">
                  <c:v>3726.84</c:v>
                </c:pt>
                <c:pt idx="44">
                  <c:v>4419.6499999999996</c:v>
                </c:pt>
                <c:pt idx="45">
                  <c:v>5900.8300000000008</c:v>
                </c:pt>
                <c:pt idx="46">
                  <c:v>5016.8999999999996</c:v>
                </c:pt>
                <c:pt idx="47">
                  <c:v>2627.9</c:v>
                </c:pt>
                <c:pt idx="48">
                  <c:v>931.71</c:v>
                </c:pt>
                <c:pt idx="49">
                  <c:v>1528.96</c:v>
                </c:pt>
                <c:pt idx="50">
                  <c:v>7286.4500000000007</c:v>
                </c:pt>
                <c:pt idx="51">
                  <c:v>8863.19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6-4731-8819-01F7A97C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Rawdata!$G$782:$G$833</c:f>
              <c:numCache>
                <c:formatCode>0.00</c:formatCode>
                <c:ptCount val="52"/>
                <c:pt idx="0">
                  <c:v>-4.7488403506669403</c:v>
                </c:pt>
                <c:pt idx="1">
                  <c:v>-4.9433824769796413</c:v>
                </c:pt>
                <c:pt idx="2">
                  <c:v>-5.6943276910253529</c:v>
                </c:pt>
                <c:pt idx="3">
                  <c:v>-5.7819858194567679</c:v>
                </c:pt>
                <c:pt idx="4">
                  <c:v>-7.0923418967926022</c:v>
                </c:pt>
                <c:pt idx="5">
                  <c:v>-5.0376186090183923</c:v>
                </c:pt>
                <c:pt idx="6">
                  <c:v>-6.8741407957624157</c:v>
                </c:pt>
                <c:pt idx="7">
                  <c:v>-3.8889226833043087</c:v>
                </c:pt>
                <c:pt idx="8">
                  <c:v>-2.3274965832039025</c:v>
                </c:pt>
                <c:pt idx="9">
                  <c:v>-4.4740957970566209</c:v>
                </c:pt>
                <c:pt idx="10">
                  <c:v>-6.9054543883482697</c:v>
                </c:pt>
                <c:pt idx="11">
                  <c:v>-8.3367126974462824</c:v>
                </c:pt>
                <c:pt idx="12">
                  <c:v>-6.5891155930750829</c:v>
                </c:pt>
                <c:pt idx="13">
                  <c:v>-4.1824825185535435</c:v>
                </c:pt>
                <c:pt idx="14">
                  <c:v>-4.2274716442683946</c:v>
                </c:pt>
                <c:pt idx="15">
                  <c:v>-5.1358323513864201</c:v>
                </c:pt>
                <c:pt idx="16">
                  <c:v>-5.4996780401707639</c:v>
                </c:pt>
                <c:pt idx="17">
                  <c:v>-5.7132852029729415</c:v>
                </c:pt>
                <c:pt idx="18">
                  <c:v>-4.7526762643077314</c:v>
                </c:pt>
                <c:pt idx="19">
                  <c:v>-6.1852946971018605</c:v>
                </c:pt>
                <c:pt idx="20">
                  <c:v>-2.9096689781212617</c:v>
                </c:pt>
                <c:pt idx="21">
                  <c:v>-2.0626282801214817</c:v>
                </c:pt>
                <c:pt idx="22">
                  <c:v>-4.0956425119947637</c:v>
                </c:pt>
                <c:pt idx="23">
                  <c:v>-4.3582046079861341</c:v>
                </c:pt>
                <c:pt idx="24">
                  <c:v>-6.544953228218227</c:v>
                </c:pt>
                <c:pt idx="25">
                  <c:v>-5.2249390372088111</c:v>
                </c:pt>
                <c:pt idx="26">
                  <c:v>-4.3527036684134108</c:v>
                </c:pt>
                <c:pt idx="27">
                  <c:v>-5.0676089122309893</c:v>
                </c:pt>
                <c:pt idx="28">
                  <c:v>-5.7124072795296694</c:v>
                </c:pt>
                <c:pt idx="29">
                  <c:v>-6.6540911535482392</c:v>
                </c:pt>
                <c:pt idx="30">
                  <c:v>-7.1620218174305919</c:v>
                </c:pt>
                <c:pt idx="31">
                  <c:v>-5.846669607119547</c:v>
                </c:pt>
                <c:pt idx="32">
                  <c:v>-7.6807883501867433</c:v>
                </c:pt>
                <c:pt idx="33">
                  <c:v>-4.0227111387306893</c:v>
                </c:pt>
                <c:pt idx="34">
                  <c:v>-2.4904879908583526</c:v>
                </c:pt>
                <c:pt idx="35">
                  <c:v>-4.2259296842911196</c:v>
                </c:pt>
                <c:pt idx="36">
                  <c:v>-5.5017682845165101</c:v>
                </c:pt>
                <c:pt idx="37">
                  <c:v>-7.3865204138964451</c:v>
                </c:pt>
                <c:pt idx="38">
                  <c:v>-7.019898509167537</c:v>
                </c:pt>
                <c:pt idx="39">
                  <c:v>-4.513698501285929</c:v>
                </c:pt>
                <c:pt idx="40">
                  <c:v>-4.565271461569159</c:v>
                </c:pt>
                <c:pt idx="41">
                  <c:v>-5.495899148968892</c:v>
                </c:pt>
                <c:pt idx="42">
                  <c:v>-5.5397305079119903</c:v>
                </c:pt>
                <c:pt idx="43">
                  <c:v>-5.5990057418477406</c:v>
                </c:pt>
                <c:pt idx="44">
                  <c:v>-5.1784070698754787</c:v>
                </c:pt>
                <c:pt idx="45">
                  <c:v>-8.7416603108720068</c:v>
                </c:pt>
                <c:pt idx="46">
                  <c:v>-4.1497408244571297</c:v>
                </c:pt>
                <c:pt idx="47">
                  <c:v>-2.5002654243940281</c:v>
                </c:pt>
                <c:pt idx="48">
                  <c:v>-4.6578944589935887</c:v>
                </c:pt>
                <c:pt idx="49">
                  <c:v>-5.8859106231558531</c:v>
                </c:pt>
                <c:pt idx="50">
                  <c:v>-7.3345606749657346</c:v>
                </c:pt>
                <c:pt idx="51">
                  <c:v>-6.0658674493105345</c:v>
                </c:pt>
              </c:numCache>
            </c:numRef>
          </c:xVal>
          <c:yVal>
            <c:numRef>
              <c:f>Rawdata!$I$782:$I$833</c:f>
              <c:numCache>
                <c:formatCode>#,##0.0;[Red]\-#,##0.0</c:formatCode>
                <c:ptCount val="52"/>
                <c:pt idx="0">
                  <c:v>1958.9799999999998</c:v>
                </c:pt>
                <c:pt idx="1">
                  <c:v>2484.56</c:v>
                </c:pt>
                <c:pt idx="2">
                  <c:v>2795.13</c:v>
                </c:pt>
                <c:pt idx="3">
                  <c:v>3702.9500000000003</c:v>
                </c:pt>
                <c:pt idx="4">
                  <c:v>5566.37</c:v>
                </c:pt>
                <c:pt idx="5">
                  <c:v>2914.58</c:v>
                </c:pt>
                <c:pt idx="6">
                  <c:v>4873.5599999999995</c:v>
                </c:pt>
                <c:pt idx="7">
                  <c:v>2747.3500000000004</c:v>
                </c:pt>
                <c:pt idx="8">
                  <c:v>1385.62</c:v>
                </c:pt>
                <c:pt idx="9">
                  <c:v>2699.57</c:v>
                </c:pt>
                <c:pt idx="10">
                  <c:v>4371.87</c:v>
                </c:pt>
                <c:pt idx="11">
                  <c:v>6784.76</c:v>
                </c:pt>
                <c:pt idx="12">
                  <c:v>7812.0300000000007</c:v>
                </c:pt>
                <c:pt idx="13">
                  <c:v>1958.9799999999998</c:v>
                </c:pt>
                <c:pt idx="14">
                  <c:v>2484.56</c:v>
                </c:pt>
                <c:pt idx="15">
                  <c:v>2795.13</c:v>
                </c:pt>
                <c:pt idx="16">
                  <c:v>3702.9500000000003</c:v>
                </c:pt>
                <c:pt idx="17">
                  <c:v>5566.37</c:v>
                </c:pt>
                <c:pt idx="18">
                  <c:v>2914.58</c:v>
                </c:pt>
                <c:pt idx="19">
                  <c:v>4873.5599999999995</c:v>
                </c:pt>
                <c:pt idx="20">
                  <c:v>2747.3500000000004</c:v>
                </c:pt>
                <c:pt idx="21">
                  <c:v>1385.62</c:v>
                </c:pt>
                <c:pt idx="22">
                  <c:v>2699.57</c:v>
                </c:pt>
                <c:pt idx="23">
                  <c:v>4371.87</c:v>
                </c:pt>
                <c:pt idx="24">
                  <c:v>6784.76</c:v>
                </c:pt>
                <c:pt idx="25">
                  <c:v>7812.0300000000007</c:v>
                </c:pt>
                <c:pt idx="26">
                  <c:v>1958.9799999999998</c:v>
                </c:pt>
                <c:pt idx="27">
                  <c:v>2484.56</c:v>
                </c:pt>
                <c:pt idx="28">
                  <c:v>2795.13</c:v>
                </c:pt>
                <c:pt idx="29">
                  <c:v>3702.9500000000003</c:v>
                </c:pt>
                <c:pt idx="30">
                  <c:v>5566.37</c:v>
                </c:pt>
                <c:pt idx="31">
                  <c:v>2914.58</c:v>
                </c:pt>
                <c:pt idx="32">
                  <c:v>4873.5599999999995</c:v>
                </c:pt>
                <c:pt idx="33">
                  <c:v>2747.3500000000004</c:v>
                </c:pt>
                <c:pt idx="34">
                  <c:v>1385.62</c:v>
                </c:pt>
                <c:pt idx="35">
                  <c:v>2699.57</c:v>
                </c:pt>
                <c:pt idx="36">
                  <c:v>4371.87</c:v>
                </c:pt>
                <c:pt idx="37">
                  <c:v>6784.76</c:v>
                </c:pt>
                <c:pt idx="38">
                  <c:v>7812.0300000000007</c:v>
                </c:pt>
                <c:pt idx="39">
                  <c:v>1958.9799999999998</c:v>
                </c:pt>
                <c:pt idx="40">
                  <c:v>2484.56</c:v>
                </c:pt>
                <c:pt idx="41">
                  <c:v>2795.13</c:v>
                </c:pt>
                <c:pt idx="42">
                  <c:v>3702.9500000000003</c:v>
                </c:pt>
                <c:pt idx="43">
                  <c:v>5566.37</c:v>
                </c:pt>
                <c:pt idx="44">
                  <c:v>2914.58</c:v>
                </c:pt>
                <c:pt idx="45">
                  <c:v>4873.5599999999995</c:v>
                </c:pt>
                <c:pt idx="46">
                  <c:v>2747.3500000000004</c:v>
                </c:pt>
                <c:pt idx="47">
                  <c:v>1385.62</c:v>
                </c:pt>
                <c:pt idx="48">
                  <c:v>2699.57</c:v>
                </c:pt>
                <c:pt idx="49">
                  <c:v>4371.87</c:v>
                </c:pt>
                <c:pt idx="50">
                  <c:v>6784.76</c:v>
                </c:pt>
                <c:pt idx="51">
                  <c:v>7812.0300000000007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3-401D-9454-E462F256B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Rawdata!$G$834:$G$885</c:f>
              <c:numCache>
                <c:formatCode>0.00</c:formatCode>
                <c:ptCount val="52"/>
                <c:pt idx="0">
                  <c:v>-4.898282233341738</c:v>
                </c:pt>
                <c:pt idx="1">
                  <c:v>-4.3944180480545034</c:v>
                </c:pt>
                <c:pt idx="2">
                  <c:v>-4.0991000098154453</c:v>
                </c:pt>
                <c:pt idx="3">
                  <c:v>-4.5778598874986516</c:v>
                </c:pt>
                <c:pt idx="4">
                  <c:v>-5.0521210682660476</c:v>
                </c:pt>
                <c:pt idx="5">
                  <c:v>-4.7713683973198844</c:v>
                </c:pt>
                <c:pt idx="6">
                  <c:v>-5.1188019578558634</c:v>
                </c:pt>
                <c:pt idx="7">
                  <c:v>-4.9322374705163021</c:v>
                </c:pt>
                <c:pt idx="8">
                  <c:v>-3.3737485984914786</c:v>
                </c:pt>
                <c:pt idx="9">
                  <c:v>-1.2050367648142402</c:v>
                </c:pt>
                <c:pt idx="10">
                  <c:v>-3.5267298625381733</c:v>
                </c:pt>
                <c:pt idx="11">
                  <c:v>-4.3579983175194634</c:v>
                </c:pt>
                <c:pt idx="12">
                  <c:v>-4.898097693648559</c:v>
                </c:pt>
                <c:pt idx="13">
                  <c:v>-4.6002762775483212</c:v>
                </c:pt>
                <c:pt idx="14">
                  <c:v>-3.8132790364893037</c:v>
                </c:pt>
                <c:pt idx="15">
                  <c:v>-4.162639484505088</c:v>
                </c:pt>
                <c:pt idx="16">
                  <c:v>-4.4177554460953941</c:v>
                </c:pt>
                <c:pt idx="17">
                  <c:v>-4.8584063276426495</c:v>
                </c:pt>
                <c:pt idx="18">
                  <c:v>-4.7797894997162924</c:v>
                </c:pt>
                <c:pt idx="19">
                  <c:v>-5.0112924176946541</c:v>
                </c:pt>
                <c:pt idx="20">
                  <c:v>-4.2877527809688969</c:v>
                </c:pt>
                <c:pt idx="21">
                  <c:v>-3.3610538332314617</c:v>
                </c:pt>
                <c:pt idx="22">
                  <c:v>-1.2121274944364573</c:v>
                </c:pt>
                <c:pt idx="23">
                  <c:v>-3.3122360528034465</c:v>
                </c:pt>
                <c:pt idx="24">
                  <c:v>-4.7599213192032286</c:v>
                </c:pt>
                <c:pt idx="25">
                  <c:v>-4.4344506301576594</c:v>
                </c:pt>
                <c:pt idx="26">
                  <c:v>-4.6465486057254122</c:v>
                </c:pt>
                <c:pt idx="27">
                  <c:v>-3.859910892684411</c:v>
                </c:pt>
                <c:pt idx="28">
                  <c:v>-4.6356978837457801</c:v>
                </c:pt>
                <c:pt idx="29">
                  <c:v>-4.4423208652096404</c:v>
                </c:pt>
                <c:pt idx="30">
                  <c:v>-4.7183309968647738</c:v>
                </c:pt>
                <c:pt idx="31">
                  <c:v>-4.3603283618808026</c:v>
                </c:pt>
                <c:pt idx="32">
                  <c:v>-5.3695866409318187</c:v>
                </c:pt>
                <c:pt idx="33">
                  <c:v>-4.1399801148476589</c:v>
                </c:pt>
                <c:pt idx="34">
                  <c:v>-3.2797351659909442</c:v>
                </c:pt>
                <c:pt idx="35">
                  <c:v>-1.7744035094405299</c:v>
                </c:pt>
                <c:pt idx="36">
                  <c:v>-3.8501300175920337</c:v>
                </c:pt>
                <c:pt idx="37">
                  <c:v>-4.8517659583808772</c:v>
                </c:pt>
                <c:pt idx="38">
                  <c:v>-4.7386942111984416</c:v>
                </c:pt>
                <c:pt idx="39">
                  <c:v>-4.234677682647372</c:v>
                </c:pt>
                <c:pt idx="40">
                  <c:v>-3.88549793402834</c:v>
                </c:pt>
                <c:pt idx="41">
                  <c:v>-4.3057961925071062</c:v>
                </c:pt>
                <c:pt idx="42">
                  <c:v>-4.4212841696158467</c:v>
                </c:pt>
                <c:pt idx="43">
                  <c:v>-4.502555616184126</c:v>
                </c:pt>
                <c:pt idx="44">
                  <c:v>-4.5570688708021274</c:v>
                </c:pt>
                <c:pt idx="45">
                  <c:v>-5.6418183035618412</c:v>
                </c:pt>
                <c:pt idx="46">
                  <c:v>-4.2845407867727232</c:v>
                </c:pt>
                <c:pt idx="47">
                  <c:v>-3.4308911911737927</c:v>
                </c:pt>
                <c:pt idx="48">
                  <c:v>-1.5615913927227218</c:v>
                </c:pt>
                <c:pt idx="49">
                  <c:v>-4.5204003834982238</c:v>
                </c:pt>
                <c:pt idx="50">
                  <c:v>-4.4909768675978867</c:v>
                </c:pt>
                <c:pt idx="51">
                  <c:v>-4.926136913712952</c:v>
                </c:pt>
              </c:numCache>
            </c:numRef>
          </c:xVal>
          <c:yVal>
            <c:numRef>
              <c:f>Rawdata!$I$834:$I$885</c:f>
              <c:numCache>
                <c:formatCode>#,##0.0;[Red]\-#,##0.0</c:formatCode>
                <c:ptCount val="52"/>
                <c:pt idx="0">
                  <c:v>2484.56</c:v>
                </c:pt>
                <c:pt idx="1">
                  <c:v>2150.1000000000004</c:v>
                </c:pt>
                <c:pt idx="2">
                  <c:v>2795.13</c:v>
                </c:pt>
                <c:pt idx="3">
                  <c:v>3679.06</c:v>
                </c:pt>
                <c:pt idx="4">
                  <c:v>6713.09</c:v>
                </c:pt>
                <c:pt idx="5">
                  <c:v>3774.62</c:v>
                </c:pt>
                <c:pt idx="6">
                  <c:v>5231.91</c:v>
                </c:pt>
                <c:pt idx="7">
                  <c:v>5208.0200000000004</c:v>
                </c:pt>
                <c:pt idx="8">
                  <c:v>1648.4100000000003</c:v>
                </c:pt>
                <c:pt idx="9">
                  <c:v>525.58000000000004</c:v>
                </c:pt>
                <c:pt idx="10">
                  <c:v>2197.88</c:v>
                </c:pt>
                <c:pt idx="11">
                  <c:v>6617.5300000000007</c:v>
                </c:pt>
                <c:pt idx="12">
                  <c:v>8146.49</c:v>
                </c:pt>
                <c:pt idx="13">
                  <c:v>2484.56</c:v>
                </c:pt>
                <c:pt idx="14">
                  <c:v>2150.1000000000004</c:v>
                </c:pt>
                <c:pt idx="15">
                  <c:v>2795.13</c:v>
                </c:pt>
                <c:pt idx="16">
                  <c:v>3679.06</c:v>
                </c:pt>
                <c:pt idx="17">
                  <c:v>6713.09</c:v>
                </c:pt>
                <c:pt idx="18">
                  <c:v>3774.62</c:v>
                </c:pt>
                <c:pt idx="19">
                  <c:v>5231.91</c:v>
                </c:pt>
                <c:pt idx="20">
                  <c:v>5208.0200000000004</c:v>
                </c:pt>
                <c:pt idx="21">
                  <c:v>1648.4100000000003</c:v>
                </c:pt>
                <c:pt idx="22">
                  <c:v>525.58000000000004</c:v>
                </c:pt>
                <c:pt idx="23">
                  <c:v>2197.88</c:v>
                </c:pt>
                <c:pt idx="24">
                  <c:v>6617.5300000000007</c:v>
                </c:pt>
                <c:pt idx="25">
                  <c:v>8146.49</c:v>
                </c:pt>
                <c:pt idx="26">
                  <c:v>2484.56</c:v>
                </c:pt>
                <c:pt idx="27">
                  <c:v>2150.1000000000004</c:v>
                </c:pt>
                <c:pt idx="28">
                  <c:v>2795.13</c:v>
                </c:pt>
                <c:pt idx="29">
                  <c:v>3679.06</c:v>
                </c:pt>
                <c:pt idx="30">
                  <c:v>6713.09</c:v>
                </c:pt>
                <c:pt idx="31">
                  <c:v>3774.62</c:v>
                </c:pt>
                <c:pt idx="32">
                  <c:v>5231.91</c:v>
                </c:pt>
                <c:pt idx="33">
                  <c:v>5208.0200000000004</c:v>
                </c:pt>
                <c:pt idx="34">
                  <c:v>1648.4100000000003</c:v>
                </c:pt>
                <c:pt idx="35">
                  <c:v>525.58000000000004</c:v>
                </c:pt>
                <c:pt idx="36">
                  <c:v>2197.88</c:v>
                </c:pt>
                <c:pt idx="37">
                  <c:v>6617.5300000000007</c:v>
                </c:pt>
                <c:pt idx="38">
                  <c:v>8146.49</c:v>
                </c:pt>
                <c:pt idx="39">
                  <c:v>2484.56</c:v>
                </c:pt>
                <c:pt idx="40">
                  <c:v>2150.1000000000004</c:v>
                </c:pt>
                <c:pt idx="41">
                  <c:v>2795.13</c:v>
                </c:pt>
                <c:pt idx="42">
                  <c:v>3679.06</c:v>
                </c:pt>
                <c:pt idx="43">
                  <c:v>6713.09</c:v>
                </c:pt>
                <c:pt idx="44">
                  <c:v>3774.62</c:v>
                </c:pt>
                <c:pt idx="45">
                  <c:v>5231.91</c:v>
                </c:pt>
                <c:pt idx="46">
                  <c:v>5208.0200000000004</c:v>
                </c:pt>
                <c:pt idx="47">
                  <c:v>1648.4100000000003</c:v>
                </c:pt>
                <c:pt idx="48">
                  <c:v>525.58000000000004</c:v>
                </c:pt>
                <c:pt idx="49">
                  <c:v>2197.88</c:v>
                </c:pt>
                <c:pt idx="50">
                  <c:v>6617.5300000000007</c:v>
                </c:pt>
                <c:pt idx="51">
                  <c:v>8146.49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41-4D41-9EE5-61DD44BB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Rawdata!$G$886:$G$937</c:f>
              <c:numCache>
                <c:formatCode>0.00</c:formatCode>
                <c:ptCount val="52"/>
                <c:pt idx="0">
                  <c:v>-5.3388579144307267</c:v>
                </c:pt>
                <c:pt idx="1">
                  <c:v>-2.2539896551972287</c:v>
                </c:pt>
                <c:pt idx="2">
                  <c:v>-3.689101802376296</c:v>
                </c:pt>
                <c:pt idx="3">
                  <c:v>-6.0232871035624296</c:v>
                </c:pt>
                <c:pt idx="4">
                  <c:v>-5.5281427698373458</c:v>
                </c:pt>
                <c:pt idx="5">
                  <c:v>-5.8652747949505812</c:v>
                </c:pt>
                <c:pt idx="6">
                  <c:v>-7.8825279928377991</c:v>
                </c:pt>
                <c:pt idx="7">
                  <c:v>-8.0575689973532505</c:v>
                </c:pt>
                <c:pt idx="8">
                  <c:v>-4.5316416033846956</c:v>
                </c:pt>
                <c:pt idx="9">
                  <c:v>-5.1087188165006836</c:v>
                </c:pt>
                <c:pt idx="10">
                  <c:v>-4.3351214378032603</c:v>
                </c:pt>
                <c:pt idx="11">
                  <c:v>-6.0306852602612633</c:v>
                </c:pt>
                <c:pt idx="12">
                  <c:v>-5.2875624604102827</c:v>
                </c:pt>
                <c:pt idx="13">
                  <c:v>-6.3014293988688879</c:v>
                </c:pt>
                <c:pt idx="14">
                  <c:v>-2.1257731219930318</c:v>
                </c:pt>
                <c:pt idx="15">
                  <c:v>-4.129311001060386</c:v>
                </c:pt>
                <c:pt idx="16">
                  <c:v>-5.4008050356817972</c:v>
                </c:pt>
                <c:pt idx="17">
                  <c:v>-6.4137228167955662</c:v>
                </c:pt>
                <c:pt idx="18">
                  <c:v>-6.2048818303771656</c:v>
                </c:pt>
                <c:pt idx="19">
                  <c:v>-8.1507919794324781</c:v>
                </c:pt>
                <c:pt idx="20">
                  <c:v>-7.0825706646523168</c:v>
                </c:pt>
                <c:pt idx="21">
                  <c:v>-4.3047380066219212</c:v>
                </c:pt>
                <c:pt idx="22">
                  <c:v>-4.4103647974487705</c:v>
                </c:pt>
                <c:pt idx="23">
                  <c:v>-3.991008285305869</c:v>
                </c:pt>
                <c:pt idx="24">
                  <c:v>-4.5454945301034355</c:v>
                </c:pt>
                <c:pt idx="25">
                  <c:v>-6.7814874857225389</c:v>
                </c:pt>
                <c:pt idx="26">
                  <c:v>-4.5761596709096652</c:v>
                </c:pt>
                <c:pt idx="27">
                  <c:v>-2.542714864180355</c:v>
                </c:pt>
                <c:pt idx="28">
                  <c:v>-4.8545770362735325</c:v>
                </c:pt>
                <c:pt idx="29">
                  <c:v>-5.44682706813823</c:v>
                </c:pt>
                <c:pt idx="30">
                  <c:v>-5.6098636118197893</c:v>
                </c:pt>
                <c:pt idx="31">
                  <c:v>-5.7599142792927553</c:v>
                </c:pt>
                <c:pt idx="32">
                  <c:v>-5.6269111952127036</c:v>
                </c:pt>
                <c:pt idx="33">
                  <c:v>-5.3356617615896136</c:v>
                </c:pt>
                <c:pt idx="34">
                  <c:v>-4.5687071064260811</c:v>
                </c:pt>
                <c:pt idx="35">
                  <c:v>-4.8169846400963321</c:v>
                </c:pt>
                <c:pt idx="36">
                  <c:v>-4.634957609905725</c:v>
                </c:pt>
                <c:pt idx="37">
                  <c:v>-4.2145964439240364</c:v>
                </c:pt>
                <c:pt idx="38">
                  <c:v>-5.9148964224006564</c:v>
                </c:pt>
                <c:pt idx="39">
                  <c:v>-5.6857697137873169</c:v>
                </c:pt>
                <c:pt idx="40">
                  <c:v>-2.5953134665420401</c:v>
                </c:pt>
                <c:pt idx="41">
                  <c:v>-4.4939447492039744</c:v>
                </c:pt>
                <c:pt idx="42">
                  <c:v>-5.7850533065246292</c:v>
                </c:pt>
                <c:pt idx="43">
                  <c:v>-6.2477950697772879</c:v>
                </c:pt>
                <c:pt idx="44">
                  <c:v>-5.614656139875688</c:v>
                </c:pt>
                <c:pt idx="45">
                  <c:v>-5.5339577866019303</c:v>
                </c:pt>
                <c:pt idx="46">
                  <c:v>-5.2864348208244634</c:v>
                </c:pt>
                <c:pt idx="47">
                  <c:v>-3.882022343899965</c:v>
                </c:pt>
                <c:pt idx="48">
                  <c:v>-3.5892919241934709</c:v>
                </c:pt>
                <c:pt idx="49">
                  <c:v>-3.5954237356673882</c:v>
                </c:pt>
                <c:pt idx="51">
                  <c:v>-7.8356480118198144</c:v>
                </c:pt>
              </c:numCache>
            </c:numRef>
          </c:xVal>
          <c:yVal>
            <c:numRef>
              <c:f>Rawdata!$I$886:$I$937</c:f>
              <c:numCache>
                <c:formatCode>#,##0.0;[Red]\-#,##0.0</c:formatCode>
                <c:ptCount val="52"/>
                <c:pt idx="0">
                  <c:v>2795.13</c:v>
                </c:pt>
                <c:pt idx="1">
                  <c:v>1648.4100000000003</c:v>
                </c:pt>
                <c:pt idx="2">
                  <c:v>2078.4299999999998</c:v>
                </c:pt>
                <c:pt idx="3">
                  <c:v>3225.15</c:v>
                </c:pt>
                <c:pt idx="4">
                  <c:v>4682.4400000000005</c:v>
                </c:pt>
                <c:pt idx="5">
                  <c:v>3726.84</c:v>
                </c:pt>
                <c:pt idx="6">
                  <c:v>5088.5700000000006</c:v>
                </c:pt>
                <c:pt idx="7">
                  <c:v>4491.3200000000006</c:v>
                </c:pt>
                <c:pt idx="8">
                  <c:v>2269.5500000000002</c:v>
                </c:pt>
                <c:pt idx="9">
                  <c:v>2269.5500000000002</c:v>
                </c:pt>
                <c:pt idx="10">
                  <c:v>1313.95</c:v>
                </c:pt>
                <c:pt idx="11">
                  <c:v>5231.91</c:v>
                </c:pt>
                <c:pt idx="12">
                  <c:v>7023.66</c:v>
                </c:pt>
                <c:pt idx="13">
                  <c:v>2795.13</c:v>
                </c:pt>
                <c:pt idx="14">
                  <c:v>1648.4100000000003</c:v>
                </c:pt>
                <c:pt idx="15">
                  <c:v>2078.4299999999998</c:v>
                </c:pt>
                <c:pt idx="16">
                  <c:v>3225.15</c:v>
                </c:pt>
                <c:pt idx="17">
                  <c:v>4682.4400000000005</c:v>
                </c:pt>
                <c:pt idx="18">
                  <c:v>3726.84</c:v>
                </c:pt>
                <c:pt idx="19">
                  <c:v>5088.5700000000006</c:v>
                </c:pt>
                <c:pt idx="20">
                  <c:v>4491.3200000000006</c:v>
                </c:pt>
                <c:pt idx="21">
                  <c:v>2269.5500000000002</c:v>
                </c:pt>
                <c:pt idx="22">
                  <c:v>2269.5500000000002</c:v>
                </c:pt>
                <c:pt idx="23">
                  <c:v>1313.95</c:v>
                </c:pt>
                <c:pt idx="24">
                  <c:v>5231.91</c:v>
                </c:pt>
                <c:pt idx="25">
                  <c:v>7023.66</c:v>
                </c:pt>
                <c:pt idx="26">
                  <c:v>2795.13</c:v>
                </c:pt>
                <c:pt idx="27">
                  <c:v>1648.4100000000003</c:v>
                </c:pt>
                <c:pt idx="28">
                  <c:v>2078.4299999999998</c:v>
                </c:pt>
                <c:pt idx="29">
                  <c:v>3225.15</c:v>
                </c:pt>
                <c:pt idx="30">
                  <c:v>4682.4400000000005</c:v>
                </c:pt>
                <c:pt idx="31">
                  <c:v>3726.84</c:v>
                </c:pt>
                <c:pt idx="32">
                  <c:v>5088.5700000000006</c:v>
                </c:pt>
                <c:pt idx="33">
                  <c:v>4491.3200000000006</c:v>
                </c:pt>
                <c:pt idx="34">
                  <c:v>2269.5500000000002</c:v>
                </c:pt>
                <c:pt idx="35">
                  <c:v>2269.5500000000002</c:v>
                </c:pt>
                <c:pt idx="36">
                  <c:v>1313.95</c:v>
                </c:pt>
                <c:pt idx="37">
                  <c:v>5231.91</c:v>
                </c:pt>
                <c:pt idx="38">
                  <c:v>7023.66</c:v>
                </c:pt>
                <c:pt idx="39">
                  <c:v>2795.13</c:v>
                </c:pt>
                <c:pt idx="40">
                  <c:v>1648.4100000000003</c:v>
                </c:pt>
                <c:pt idx="41">
                  <c:v>2078.4299999999998</c:v>
                </c:pt>
                <c:pt idx="42">
                  <c:v>3225.15</c:v>
                </c:pt>
                <c:pt idx="43">
                  <c:v>4682.4400000000005</c:v>
                </c:pt>
                <c:pt idx="44">
                  <c:v>3726.84</c:v>
                </c:pt>
                <c:pt idx="45">
                  <c:v>5088.5700000000006</c:v>
                </c:pt>
                <c:pt idx="46">
                  <c:v>4491.3200000000006</c:v>
                </c:pt>
                <c:pt idx="47">
                  <c:v>2269.5500000000002</c:v>
                </c:pt>
                <c:pt idx="48">
                  <c:v>2269.5500000000002</c:v>
                </c:pt>
                <c:pt idx="49">
                  <c:v>1313.95</c:v>
                </c:pt>
                <c:pt idx="50">
                  <c:v>5231.91</c:v>
                </c:pt>
                <c:pt idx="51">
                  <c:v>7023.66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97-4C6C-984D-A2B172625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351"/>
        <c:axId val="43827551"/>
      </c:scatterChart>
      <c:valAx>
        <c:axId val="438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7551"/>
        <c:crosses val="autoZero"/>
        <c:crossBetween val="midCat"/>
      </c:valAx>
      <c:valAx>
        <c:axId val="438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82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</xdr:row>
      <xdr:rowOff>114300</xdr:rowOff>
    </xdr:from>
    <xdr:to>
      <xdr:col>19</xdr:col>
      <xdr:colOff>125730</xdr:colOff>
      <xdr:row>12</xdr:row>
      <xdr:rowOff>91440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C7B085C8-6764-9379-D529-62BD9984B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247650</xdr:colOff>
      <xdr:row>53</xdr:row>
      <xdr:rowOff>114300</xdr:rowOff>
    </xdr:from>
    <xdr:to>
      <xdr:col>19</xdr:col>
      <xdr:colOff>125730</xdr:colOff>
      <xdr:row>64</xdr:row>
      <xdr:rowOff>91440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6D0A053C-FACB-4470-AF58-EC4A063B6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247650</xdr:colOff>
      <xdr:row>105</xdr:row>
      <xdr:rowOff>114300</xdr:rowOff>
    </xdr:from>
    <xdr:to>
      <xdr:col>19</xdr:col>
      <xdr:colOff>125730</xdr:colOff>
      <xdr:row>116</xdr:row>
      <xdr:rowOff>91440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D6A95E12-3E31-488E-98D2-708005D79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157</xdr:row>
      <xdr:rowOff>114300</xdr:rowOff>
    </xdr:from>
    <xdr:to>
      <xdr:col>19</xdr:col>
      <xdr:colOff>125730</xdr:colOff>
      <xdr:row>168</xdr:row>
      <xdr:rowOff>91440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3B478A92-A90B-4CF7-8E46-07590EDD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220980</xdr:colOff>
      <xdr:row>209</xdr:row>
      <xdr:rowOff>129540</xdr:rowOff>
    </xdr:from>
    <xdr:to>
      <xdr:col>19</xdr:col>
      <xdr:colOff>99060</xdr:colOff>
      <xdr:row>220</xdr:row>
      <xdr:rowOff>106680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8421BAC9-C514-40D5-A242-6390E074F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388620</xdr:colOff>
      <xdr:row>261</xdr:row>
      <xdr:rowOff>175260</xdr:rowOff>
    </xdr:from>
    <xdr:to>
      <xdr:col>19</xdr:col>
      <xdr:colOff>266700</xdr:colOff>
      <xdr:row>272</xdr:row>
      <xdr:rowOff>152400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C9C9B0A7-50B7-426D-BA69-98FBB5E5F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236220</xdr:colOff>
      <xdr:row>313</xdr:row>
      <xdr:rowOff>121920</xdr:rowOff>
    </xdr:from>
    <xdr:to>
      <xdr:col>19</xdr:col>
      <xdr:colOff>114300</xdr:colOff>
      <xdr:row>324</xdr:row>
      <xdr:rowOff>99060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02DDFBB-7FC6-4A57-AACB-32C2FD483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220980</xdr:colOff>
      <xdr:row>365</xdr:row>
      <xdr:rowOff>76200</xdr:rowOff>
    </xdr:from>
    <xdr:to>
      <xdr:col>19</xdr:col>
      <xdr:colOff>99060</xdr:colOff>
      <xdr:row>376</xdr:row>
      <xdr:rowOff>53340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B75A481B-88F9-4343-842A-35FB464B8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297180</xdr:colOff>
      <xdr:row>417</xdr:row>
      <xdr:rowOff>160020</xdr:rowOff>
    </xdr:from>
    <xdr:to>
      <xdr:col>19</xdr:col>
      <xdr:colOff>175260</xdr:colOff>
      <xdr:row>428</xdr:row>
      <xdr:rowOff>137160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E4685300-1E2E-490B-B3A0-EB9BCF7EE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358140</xdr:colOff>
      <xdr:row>469</xdr:row>
      <xdr:rowOff>144780</xdr:rowOff>
    </xdr:from>
    <xdr:to>
      <xdr:col>19</xdr:col>
      <xdr:colOff>236220</xdr:colOff>
      <xdr:row>480</xdr:row>
      <xdr:rowOff>121920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AA939BCD-8C51-46CE-B9B4-2D1D06B1C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213360</xdr:colOff>
      <xdr:row>521</xdr:row>
      <xdr:rowOff>121920</xdr:rowOff>
    </xdr:from>
    <xdr:to>
      <xdr:col>19</xdr:col>
      <xdr:colOff>91440</xdr:colOff>
      <xdr:row>532</xdr:row>
      <xdr:rowOff>99060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6ACC9ABE-635A-4ADF-8E70-AE68796DD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228600</xdr:colOff>
      <xdr:row>573</xdr:row>
      <xdr:rowOff>106680</xdr:rowOff>
    </xdr:from>
    <xdr:to>
      <xdr:col>19</xdr:col>
      <xdr:colOff>106680</xdr:colOff>
      <xdr:row>584</xdr:row>
      <xdr:rowOff>83820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C5E31FCA-7CB2-4063-B86D-2DCEF8BD9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160020</xdr:colOff>
      <xdr:row>625</xdr:row>
      <xdr:rowOff>22860</xdr:rowOff>
    </xdr:from>
    <xdr:to>
      <xdr:col>19</xdr:col>
      <xdr:colOff>38100</xdr:colOff>
      <xdr:row>636</xdr:row>
      <xdr:rowOff>0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A4BFCFF8-5332-4D44-B9FF-4D52DB753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281940</xdr:colOff>
      <xdr:row>677</xdr:row>
      <xdr:rowOff>129540</xdr:rowOff>
    </xdr:from>
    <xdr:to>
      <xdr:col>19</xdr:col>
      <xdr:colOff>160020</xdr:colOff>
      <xdr:row>688</xdr:row>
      <xdr:rowOff>106680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A131C572-D148-4996-9311-2D16BD3EA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281940</xdr:colOff>
      <xdr:row>729</xdr:row>
      <xdr:rowOff>175260</xdr:rowOff>
    </xdr:from>
    <xdr:to>
      <xdr:col>19</xdr:col>
      <xdr:colOff>160020</xdr:colOff>
      <xdr:row>740</xdr:row>
      <xdr:rowOff>152400</xdr:rowOff>
    </xdr:to>
    <xdr:graphicFrame macro="">
      <xdr:nvGraphicFramePr>
        <xdr:cNvPr id="30" name="グラフ 29">
          <a:extLst>
            <a:ext uri="{FF2B5EF4-FFF2-40B4-BE49-F238E27FC236}">
              <a16:creationId xmlns:a16="http://schemas.microsoft.com/office/drawing/2014/main" id="{B36CE0EC-8736-4972-B5CC-A69B60F80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198120</xdr:colOff>
      <xdr:row>781</xdr:row>
      <xdr:rowOff>144780</xdr:rowOff>
    </xdr:from>
    <xdr:to>
      <xdr:col>19</xdr:col>
      <xdr:colOff>76200</xdr:colOff>
      <xdr:row>792</xdr:row>
      <xdr:rowOff>121920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4C646268-A168-4FBD-B794-EB4057DDC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323850</xdr:colOff>
      <xdr:row>833</xdr:row>
      <xdr:rowOff>3810</xdr:rowOff>
    </xdr:from>
    <xdr:to>
      <xdr:col>19</xdr:col>
      <xdr:colOff>201930</xdr:colOff>
      <xdr:row>844</xdr:row>
      <xdr:rowOff>9525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BBC504AF-D6E2-4160-AD83-C646146D6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352425</xdr:colOff>
      <xdr:row>885</xdr:row>
      <xdr:rowOff>110490</xdr:rowOff>
    </xdr:from>
    <xdr:to>
      <xdr:col>19</xdr:col>
      <xdr:colOff>306705</xdr:colOff>
      <xdr:row>896</xdr:row>
      <xdr:rowOff>116205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81BEB4E4-0528-42F9-9D03-086E85DE9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4904-E439-4AA0-8CAA-3CAB8539AED0}">
  <dimension ref="A1:Y937"/>
  <sheetViews>
    <sheetView tabSelected="1" zoomScaleNormal="100" workbookViewId="0">
      <pane xSplit="1" ySplit="1" topLeftCell="B51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defaultColWidth="8.75" defaultRowHeight="18.75" x14ac:dyDescent="0.4"/>
  <cols>
    <col min="1" max="1" width="8.75" style="1"/>
    <col min="2" max="2" width="11.625" style="1" bestFit="1" customWidth="1"/>
    <col min="3" max="6" width="8.75" style="1"/>
    <col min="7" max="7" width="11.125" style="1" bestFit="1" customWidth="1"/>
    <col min="8" max="9" width="8.75" style="1"/>
    <col min="10" max="10" width="12.5" style="11" bestFit="1" customWidth="1"/>
    <col min="11" max="11" width="11.25" style="11" bestFit="1" customWidth="1"/>
    <col min="12" max="20" width="8.75" style="1"/>
    <col min="21" max="21" width="9.75" style="1" bestFit="1" customWidth="1"/>
    <col min="22" max="16384" width="8.75" style="1"/>
  </cols>
  <sheetData>
    <row r="1" spans="1:12" x14ac:dyDescent="0.4">
      <c r="A1" s="2" t="s">
        <v>0</v>
      </c>
      <c r="B1" s="2" t="s">
        <v>1</v>
      </c>
      <c r="C1" s="2" t="s">
        <v>2</v>
      </c>
      <c r="D1" s="2" t="s">
        <v>21</v>
      </c>
      <c r="E1" s="2" t="s">
        <v>4</v>
      </c>
      <c r="F1" s="2" t="s">
        <v>5</v>
      </c>
      <c r="G1" s="2" t="s">
        <v>38</v>
      </c>
      <c r="H1" s="2" t="s">
        <v>3</v>
      </c>
      <c r="I1" s="2" t="s">
        <v>40</v>
      </c>
      <c r="J1" s="9" t="s">
        <v>23</v>
      </c>
      <c r="K1" s="9" t="s">
        <v>6</v>
      </c>
      <c r="L1" s="1" t="s">
        <v>39</v>
      </c>
    </row>
    <row r="2" spans="1:12" ht="19.5" x14ac:dyDescent="0.4">
      <c r="A2" s="1">
        <v>1</v>
      </c>
      <c r="B2" s="1" t="s">
        <v>7</v>
      </c>
      <c r="C2" s="1">
        <v>2018</v>
      </c>
      <c r="D2" t="s">
        <v>8</v>
      </c>
      <c r="E2" s="3">
        <v>248680</v>
      </c>
      <c r="F2" s="3">
        <v>111582</v>
      </c>
      <c r="G2" s="13">
        <f>LN(F2/E2)</f>
        <v>-0.80140718278518974</v>
      </c>
      <c r="H2" s="4">
        <v>5.4</v>
      </c>
      <c r="I2" s="4">
        <f>((160*(1/10)*H2)+H2*(1/20)*874.5)*2</f>
        <v>645.03</v>
      </c>
      <c r="J2" s="12">
        <v>15767</v>
      </c>
      <c r="K2" s="12">
        <v>67093</v>
      </c>
      <c r="L2" s="14">
        <f>H2</f>
        <v>5.4</v>
      </c>
    </row>
    <row r="3" spans="1:12" ht="19.5" x14ac:dyDescent="0.4">
      <c r="A3" s="1">
        <v>2</v>
      </c>
      <c r="B3" s="1" t="s">
        <v>7</v>
      </c>
      <c r="C3" s="1">
        <v>2018</v>
      </c>
      <c r="D3" t="s">
        <v>9</v>
      </c>
      <c r="E3" s="3">
        <v>289323</v>
      </c>
      <c r="F3" s="3">
        <v>37384</v>
      </c>
      <c r="G3" s="13">
        <f>LN(F3/E3)</f>
        <v>-2.0463009056706309</v>
      </c>
      <c r="H3" s="4">
        <v>11.8</v>
      </c>
      <c r="I3" s="4">
        <f>((160*(1/10)*H3)+H3*(1/20)*874.5)*2</f>
        <v>1409.5100000000002</v>
      </c>
      <c r="J3" s="12">
        <v>21442</v>
      </c>
      <c r="K3" s="12">
        <v>81653</v>
      </c>
      <c r="L3" s="14">
        <f t="shared" ref="L3:L53" si="0">H3</f>
        <v>11.8</v>
      </c>
    </row>
    <row r="4" spans="1:12" ht="19.5" x14ac:dyDescent="0.4">
      <c r="A4" s="1">
        <v>3</v>
      </c>
      <c r="B4" s="1" t="s">
        <v>7</v>
      </c>
      <c r="C4" s="1">
        <v>2018</v>
      </c>
      <c r="D4" t="s">
        <v>10</v>
      </c>
      <c r="E4" s="3">
        <v>265379</v>
      </c>
      <c r="F4" s="3">
        <v>38540</v>
      </c>
      <c r="G4" s="13">
        <f>LN(F4/E4)</f>
        <v>-1.9294623299334948</v>
      </c>
      <c r="H4" s="4">
        <v>13</v>
      </c>
      <c r="I4" s="4">
        <f>((160*(1/10)*H4)+H4*(1/20)*874.5)*2</f>
        <v>1552.8500000000001</v>
      </c>
      <c r="J4" s="12">
        <v>19571</v>
      </c>
      <c r="K4" s="12">
        <v>74654</v>
      </c>
      <c r="L4" s="14">
        <f t="shared" si="0"/>
        <v>13</v>
      </c>
    </row>
    <row r="5" spans="1:12" ht="19.5" x14ac:dyDescent="0.4">
      <c r="A5" s="1">
        <v>4</v>
      </c>
      <c r="B5" s="1" t="s">
        <v>7</v>
      </c>
      <c r="C5" s="1">
        <v>2018</v>
      </c>
      <c r="D5" t="s">
        <v>11</v>
      </c>
      <c r="E5" s="3">
        <v>211835</v>
      </c>
      <c r="F5" s="3">
        <v>26922</v>
      </c>
      <c r="G5" s="13">
        <f>LN(F5/E5)</f>
        <v>-2.0628638735291602</v>
      </c>
      <c r="H5" s="4">
        <v>16.600000000000001</v>
      </c>
      <c r="I5" s="4">
        <f>((160*(1/10)*H5)+H5*(1/20)*874.5)*2</f>
        <v>1982.8700000000001</v>
      </c>
      <c r="J5" s="12">
        <v>15073</v>
      </c>
      <c r="K5" s="12">
        <v>53700</v>
      </c>
      <c r="L5" s="14">
        <f t="shared" si="0"/>
        <v>16.600000000000001</v>
      </c>
    </row>
    <row r="6" spans="1:12" ht="19.5" x14ac:dyDescent="0.4">
      <c r="A6" s="1">
        <v>5</v>
      </c>
      <c r="B6" s="1" t="s">
        <v>7</v>
      </c>
      <c r="C6" s="1">
        <v>2018</v>
      </c>
      <c r="D6" t="s">
        <v>12</v>
      </c>
      <c r="E6" s="3">
        <v>125083</v>
      </c>
      <c r="F6" s="3">
        <v>16309</v>
      </c>
      <c r="G6" s="13">
        <f>LN(F6/E6)</f>
        <v>-2.037260414277057</v>
      </c>
      <c r="H6" s="4">
        <v>32.799999999999997</v>
      </c>
      <c r="I6" s="4">
        <f>((160*(1/10)*H6)+H6*(1/20)*874.5)*2</f>
        <v>3917.9599999999996</v>
      </c>
      <c r="J6" s="12">
        <v>7751</v>
      </c>
      <c r="K6" s="12">
        <v>40932</v>
      </c>
      <c r="L6" s="14">
        <f t="shared" si="0"/>
        <v>32.799999999999997</v>
      </c>
    </row>
    <row r="7" spans="1:12" ht="19.5" x14ac:dyDescent="0.4">
      <c r="A7" s="1">
        <v>6</v>
      </c>
      <c r="B7" s="1" t="s">
        <v>7</v>
      </c>
      <c r="C7" s="1">
        <v>2018</v>
      </c>
      <c r="D7" t="s">
        <v>13</v>
      </c>
      <c r="E7" s="3">
        <v>225298</v>
      </c>
      <c r="F7" s="3">
        <v>30583</v>
      </c>
      <c r="G7" s="13">
        <f>LN(F7/E7)</f>
        <v>-1.996979671321367</v>
      </c>
      <c r="H7" s="4">
        <v>14.8</v>
      </c>
      <c r="I7" s="4">
        <f>((160*(1/10)*H7)+H7*(1/20)*874.5)*2</f>
        <v>1767.8600000000001</v>
      </c>
      <c r="J7" s="12">
        <v>15548</v>
      </c>
      <c r="K7" s="12">
        <v>59284</v>
      </c>
      <c r="L7" s="14">
        <f t="shared" si="0"/>
        <v>14.8</v>
      </c>
    </row>
    <row r="8" spans="1:12" ht="19.5" x14ac:dyDescent="0.4">
      <c r="A8" s="1">
        <v>7</v>
      </c>
      <c r="B8" s="1" t="s">
        <v>7</v>
      </c>
      <c r="C8" s="1">
        <v>2018</v>
      </c>
      <c r="D8" t="s">
        <v>14</v>
      </c>
      <c r="E8" s="3">
        <v>225298</v>
      </c>
      <c r="F8" s="3">
        <v>12149</v>
      </c>
      <c r="G8" s="13">
        <f>LN(F8/E8)</f>
        <v>-2.9201771084733741</v>
      </c>
      <c r="H8" s="4">
        <v>28.8</v>
      </c>
      <c r="I8" s="4">
        <f>((160*(1/10)*H8)+H8*(1/20)*874.5)*2</f>
        <v>3440.1600000000003</v>
      </c>
      <c r="J8" s="12">
        <v>8519</v>
      </c>
      <c r="K8" s="12">
        <v>35078</v>
      </c>
      <c r="L8" s="14">
        <f t="shared" si="0"/>
        <v>28.8</v>
      </c>
    </row>
    <row r="9" spans="1:12" ht="19.5" x14ac:dyDescent="0.4">
      <c r="A9" s="1">
        <v>8</v>
      </c>
      <c r="B9" s="1" t="s">
        <v>7</v>
      </c>
      <c r="C9" s="1">
        <v>2018</v>
      </c>
      <c r="D9" t="s">
        <v>15</v>
      </c>
      <c r="E9" s="3">
        <v>135777</v>
      </c>
      <c r="F9" s="3">
        <v>29990</v>
      </c>
      <c r="G9" s="13">
        <f>LN(F9/E9)</f>
        <v>-1.5101498413037577</v>
      </c>
      <c r="H9" s="4">
        <v>17.600000000000001</v>
      </c>
      <c r="I9" s="4">
        <f>((160*(1/10)*H9)+H9*(1/20)*874.5)*2</f>
        <v>2102.3200000000002</v>
      </c>
      <c r="J9" s="12">
        <v>8295</v>
      </c>
      <c r="K9" s="12">
        <v>50017</v>
      </c>
      <c r="L9" s="14">
        <f t="shared" si="0"/>
        <v>17.600000000000001</v>
      </c>
    </row>
    <row r="10" spans="1:12" ht="19.5" x14ac:dyDescent="0.4">
      <c r="A10" s="1">
        <v>9</v>
      </c>
      <c r="B10" s="1" t="s">
        <v>7</v>
      </c>
      <c r="C10" s="1">
        <v>2018</v>
      </c>
      <c r="D10" t="s">
        <v>16</v>
      </c>
      <c r="E10" s="3">
        <v>217040</v>
      </c>
      <c r="F10" s="3">
        <v>61974</v>
      </c>
      <c r="G10" s="13">
        <f>LN(F10/E10)</f>
        <v>-1.2533667260981249</v>
      </c>
      <c r="H10" s="4">
        <v>6.6</v>
      </c>
      <c r="I10" s="4">
        <f>((160*(1/10)*H10)+H10*(1/20)*874.5)*2</f>
        <v>788.37000000000012</v>
      </c>
      <c r="J10" s="12">
        <v>16187</v>
      </c>
      <c r="K10" s="12">
        <v>63371</v>
      </c>
      <c r="L10" s="14">
        <f t="shared" si="0"/>
        <v>6.6</v>
      </c>
    </row>
    <row r="11" spans="1:12" ht="19.5" x14ac:dyDescent="0.4">
      <c r="A11" s="1">
        <v>10</v>
      </c>
      <c r="B11" s="1" t="s">
        <v>7</v>
      </c>
      <c r="C11" s="1">
        <v>2018</v>
      </c>
      <c r="D11" t="s">
        <v>17</v>
      </c>
      <c r="E11" s="3">
        <v>142625</v>
      </c>
      <c r="F11" s="3">
        <v>28114</v>
      </c>
      <c r="G11" s="13">
        <f>LN(F11/E11)</f>
        <v>-1.6239511352726654</v>
      </c>
      <c r="H11" s="4">
        <v>23.4</v>
      </c>
      <c r="I11" s="4">
        <f>((160*(1/10)*H11)+H11*(1/20)*874.5)*2</f>
        <v>2795.13</v>
      </c>
      <c r="J11" s="12">
        <v>10775</v>
      </c>
      <c r="K11" s="12">
        <v>46523</v>
      </c>
      <c r="L11" s="14">
        <f t="shared" si="0"/>
        <v>23.4</v>
      </c>
    </row>
    <row r="12" spans="1:12" ht="19.5" x14ac:dyDescent="0.4">
      <c r="A12" s="1">
        <v>11</v>
      </c>
      <c r="B12" s="1" t="s">
        <v>7</v>
      </c>
      <c r="C12" s="1">
        <v>2018</v>
      </c>
      <c r="D12" t="s">
        <v>18</v>
      </c>
      <c r="E12" s="3">
        <v>56869</v>
      </c>
      <c r="F12" s="3">
        <v>4795</v>
      </c>
      <c r="G12" s="13">
        <f>LN(F12/E12)</f>
        <v>-2.4731766688652819</v>
      </c>
      <c r="H12" s="4">
        <f>18.4*2</f>
        <v>36.799999999999997</v>
      </c>
      <c r="I12" s="4">
        <f>((160*(1/10)*H12)+H12*(1/20)*874.5)*2</f>
        <v>4395.76</v>
      </c>
      <c r="J12" s="12">
        <v>4168</v>
      </c>
      <c r="K12" s="12">
        <v>19403</v>
      </c>
      <c r="L12" s="14">
        <f t="shared" si="0"/>
        <v>36.799999999999997</v>
      </c>
    </row>
    <row r="13" spans="1:12" ht="19.5" x14ac:dyDescent="0.4">
      <c r="A13" s="1">
        <v>12</v>
      </c>
      <c r="B13" s="1" t="s">
        <v>7</v>
      </c>
      <c r="C13" s="1">
        <v>2018</v>
      </c>
      <c r="D13" t="s">
        <v>19</v>
      </c>
      <c r="E13" s="3">
        <v>121056</v>
      </c>
      <c r="F13" s="3">
        <v>9857</v>
      </c>
      <c r="G13" s="13">
        <f>LN(F13/E13)</f>
        <v>-2.5080713857673169</v>
      </c>
      <c r="H13" s="4">
        <f>24.1*2</f>
        <v>48.2</v>
      </c>
      <c r="I13" s="4">
        <f>((160*(1/10)*H13)+H13*(1/20)*874.5)*2</f>
        <v>5757.49</v>
      </c>
      <c r="J13" s="12">
        <v>8520</v>
      </c>
      <c r="K13" s="12">
        <v>38101</v>
      </c>
      <c r="L13" s="14">
        <f t="shared" si="0"/>
        <v>48.2</v>
      </c>
    </row>
    <row r="14" spans="1:12" ht="19.5" x14ac:dyDescent="0.4">
      <c r="A14" s="5">
        <v>13</v>
      </c>
      <c r="B14" s="5" t="s">
        <v>7</v>
      </c>
      <c r="C14" s="5">
        <v>2018</v>
      </c>
      <c r="D14" s="6" t="s">
        <v>20</v>
      </c>
      <c r="E14" s="7">
        <v>58171</v>
      </c>
      <c r="F14" s="7">
        <v>3840</v>
      </c>
      <c r="G14" s="15">
        <f>LN(F14/E14)</f>
        <v>-2.7179145821671917</v>
      </c>
      <c r="H14" s="8">
        <f>26.8*2</f>
        <v>53.6</v>
      </c>
      <c r="I14" s="8">
        <f>((160*(1/10)*H14)+H14*(1/20)*874.5)*2</f>
        <v>6402.52</v>
      </c>
      <c r="J14" s="10">
        <v>3816</v>
      </c>
      <c r="K14" s="10">
        <v>19636</v>
      </c>
      <c r="L14" s="16">
        <f t="shared" si="0"/>
        <v>53.6</v>
      </c>
    </row>
    <row r="15" spans="1:12" ht="19.5" x14ac:dyDescent="0.4">
      <c r="A15" s="1">
        <v>14</v>
      </c>
      <c r="B15" s="1" t="s">
        <v>7</v>
      </c>
      <c r="C15" s="1">
        <v>2019</v>
      </c>
      <c r="D15" t="s">
        <v>8</v>
      </c>
      <c r="E15" s="3">
        <v>248680</v>
      </c>
      <c r="F15" s="3">
        <v>121011</v>
      </c>
      <c r="G15" s="13">
        <f>LN(F15/E15)</f>
        <v>-0.72028547884546756</v>
      </c>
      <c r="H15" s="4">
        <v>5.4</v>
      </c>
      <c r="I15" s="4">
        <f>((160*(1/10)*H15)+H15*(1/20)*874.5)*2</f>
        <v>645.03</v>
      </c>
      <c r="J15" s="12">
        <v>15767</v>
      </c>
      <c r="K15" s="12">
        <v>67093</v>
      </c>
      <c r="L15" s="14">
        <f t="shared" si="0"/>
        <v>5.4</v>
      </c>
    </row>
    <row r="16" spans="1:12" ht="19.5" x14ac:dyDescent="0.4">
      <c r="A16" s="1">
        <v>15</v>
      </c>
      <c r="B16" s="1" t="s">
        <v>7</v>
      </c>
      <c r="C16" s="1">
        <v>2019</v>
      </c>
      <c r="D16" t="s">
        <v>9</v>
      </c>
      <c r="E16" s="3">
        <v>289323</v>
      </c>
      <c r="F16" s="3">
        <v>34627</v>
      </c>
      <c r="G16" s="13">
        <f>LN(F16/E16)</f>
        <v>-2.1229099864965462</v>
      </c>
      <c r="H16" s="4">
        <v>11.8</v>
      </c>
      <c r="I16" s="4">
        <f>((160*(1/10)*H16)+H16*(1/20)*874.5)*2</f>
        <v>1409.5100000000002</v>
      </c>
      <c r="J16" s="12">
        <v>21442</v>
      </c>
      <c r="K16" s="12">
        <v>81653</v>
      </c>
      <c r="L16" s="14">
        <f t="shared" si="0"/>
        <v>11.8</v>
      </c>
    </row>
    <row r="17" spans="1:12" ht="19.5" x14ac:dyDescent="0.4">
      <c r="A17" s="1">
        <v>16</v>
      </c>
      <c r="B17" s="1" t="s">
        <v>7</v>
      </c>
      <c r="C17" s="1">
        <v>2019</v>
      </c>
      <c r="D17" t="s">
        <v>10</v>
      </c>
      <c r="E17" s="3">
        <v>265379</v>
      </c>
      <c r="F17" s="3">
        <v>39705</v>
      </c>
      <c r="G17" s="13">
        <f>LN(F17/E17)</f>
        <v>-1.899681868572541</v>
      </c>
      <c r="H17" s="4">
        <v>13</v>
      </c>
      <c r="I17" s="4">
        <f>((160*(1/10)*H17)+H17*(1/20)*874.5)*2</f>
        <v>1552.8500000000001</v>
      </c>
      <c r="J17" s="12">
        <v>19571</v>
      </c>
      <c r="K17" s="12">
        <v>74654</v>
      </c>
      <c r="L17" s="14">
        <f t="shared" si="0"/>
        <v>13</v>
      </c>
    </row>
    <row r="18" spans="1:12" ht="19.5" x14ac:dyDescent="0.4">
      <c r="A18" s="1">
        <v>17</v>
      </c>
      <c r="B18" s="1" t="s">
        <v>7</v>
      </c>
      <c r="C18" s="1">
        <v>2019</v>
      </c>
      <c r="D18" t="s">
        <v>11</v>
      </c>
      <c r="E18" s="3">
        <v>211835</v>
      </c>
      <c r="F18" s="3">
        <v>29132</v>
      </c>
      <c r="G18" s="13">
        <f>LN(F18/E18)</f>
        <v>-1.9839704433953929</v>
      </c>
      <c r="H18" s="4">
        <v>16.600000000000001</v>
      </c>
      <c r="I18" s="4">
        <f>((160*(1/10)*H18)+H18*(1/20)*874.5)*2</f>
        <v>1982.8700000000001</v>
      </c>
      <c r="J18" s="12">
        <v>15073</v>
      </c>
      <c r="K18" s="12">
        <v>53700</v>
      </c>
      <c r="L18" s="14">
        <f t="shared" si="0"/>
        <v>16.600000000000001</v>
      </c>
    </row>
    <row r="19" spans="1:12" ht="19.5" x14ac:dyDescent="0.4">
      <c r="A19" s="1">
        <v>18</v>
      </c>
      <c r="B19" s="1" t="s">
        <v>7</v>
      </c>
      <c r="C19" s="1">
        <v>2019</v>
      </c>
      <c r="D19" t="s">
        <v>12</v>
      </c>
      <c r="E19" s="3">
        <v>125083</v>
      </c>
      <c r="F19" s="3">
        <v>29919</v>
      </c>
      <c r="G19" s="13">
        <f>LN(F19/E19)</f>
        <v>-1.430483786863997</v>
      </c>
      <c r="H19" s="4">
        <v>32.799999999999997</v>
      </c>
      <c r="I19" s="4">
        <f>((160*(1/10)*H19)+H19*(1/20)*874.5)*2</f>
        <v>3917.9599999999996</v>
      </c>
      <c r="J19" s="12">
        <v>7751</v>
      </c>
      <c r="K19" s="12">
        <v>40932</v>
      </c>
      <c r="L19" s="14">
        <f t="shared" si="0"/>
        <v>32.799999999999997</v>
      </c>
    </row>
    <row r="20" spans="1:12" ht="19.5" x14ac:dyDescent="0.4">
      <c r="A20" s="1">
        <v>19</v>
      </c>
      <c r="B20" s="1" t="s">
        <v>7</v>
      </c>
      <c r="C20" s="1">
        <v>2019</v>
      </c>
      <c r="D20" t="s">
        <v>13</v>
      </c>
      <c r="E20" s="3">
        <v>225298</v>
      </c>
      <c r="F20" s="3">
        <v>31227</v>
      </c>
      <c r="G20" s="13">
        <f>LN(F20/E20)</f>
        <v>-1.976140865144538</v>
      </c>
      <c r="H20" s="4">
        <v>14.8</v>
      </c>
      <c r="I20" s="4">
        <f>((160*(1/10)*H20)+H20*(1/20)*874.5)*2</f>
        <v>1767.8600000000001</v>
      </c>
      <c r="J20" s="12">
        <v>15548</v>
      </c>
      <c r="K20" s="12">
        <v>59284</v>
      </c>
      <c r="L20" s="14">
        <f t="shared" si="0"/>
        <v>14.8</v>
      </c>
    </row>
    <row r="21" spans="1:12" ht="19.5" x14ac:dyDescent="0.4">
      <c r="A21" s="1">
        <v>20</v>
      </c>
      <c r="B21" s="1" t="s">
        <v>7</v>
      </c>
      <c r="C21" s="1">
        <v>2019</v>
      </c>
      <c r="D21" t="s">
        <v>14</v>
      </c>
      <c r="E21" s="3">
        <v>225298</v>
      </c>
      <c r="F21" s="3">
        <v>14901</v>
      </c>
      <c r="G21" s="13">
        <f>LN(F21/E21)</f>
        <v>-2.7159956455526557</v>
      </c>
      <c r="H21" s="4">
        <v>28.8</v>
      </c>
      <c r="I21" s="4">
        <f>((160*(1/10)*H21)+H21*(1/20)*874.5)*2</f>
        <v>3440.1600000000003</v>
      </c>
      <c r="J21" s="12">
        <v>8519</v>
      </c>
      <c r="K21" s="12">
        <v>35078</v>
      </c>
      <c r="L21" s="14">
        <f t="shared" si="0"/>
        <v>28.8</v>
      </c>
    </row>
    <row r="22" spans="1:12" ht="19.5" x14ac:dyDescent="0.4">
      <c r="A22" s="1">
        <v>21</v>
      </c>
      <c r="B22" s="1" t="s">
        <v>7</v>
      </c>
      <c r="C22" s="1">
        <v>2019</v>
      </c>
      <c r="D22" t="s">
        <v>15</v>
      </c>
      <c r="E22" s="3">
        <v>135777</v>
      </c>
      <c r="F22" s="3">
        <v>25681</v>
      </c>
      <c r="G22" s="13">
        <f>LN(F22/E22)</f>
        <v>-1.6652624151911199</v>
      </c>
      <c r="H22" s="4">
        <v>17.600000000000001</v>
      </c>
      <c r="I22" s="4">
        <f>((160*(1/10)*H22)+H22*(1/20)*874.5)*2</f>
        <v>2102.3200000000002</v>
      </c>
      <c r="J22" s="12">
        <v>8295</v>
      </c>
      <c r="K22" s="12">
        <v>50017</v>
      </c>
      <c r="L22" s="14">
        <f t="shared" si="0"/>
        <v>17.600000000000001</v>
      </c>
    </row>
    <row r="23" spans="1:12" ht="19.5" x14ac:dyDescent="0.4">
      <c r="A23" s="1">
        <v>22</v>
      </c>
      <c r="B23" s="1" t="s">
        <v>7</v>
      </c>
      <c r="C23" s="1">
        <v>2019</v>
      </c>
      <c r="D23" t="s">
        <v>16</v>
      </c>
      <c r="E23" s="3">
        <v>217040</v>
      </c>
      <c r="F23" s="3">
        <v>59094</v>
      </c>
      <c r="G23" s="13">
        <f>LN(F23/E23)</f>
        <v>-1.3009522719350559</v>
      </c>
      <c r="H23" s="4">
        <v>6.6</v>
      </c>
      <c r="I23" s="4">
        <f>((160*(1/10)*H23)+H23*(1/20)*874.5)*2</f>
        <v>788.37000000000012</v>
      </c>
      <c r="J23" s="12">
        <v>16187</v>
      </c>
      <c r="K23" s="12">
        <v>63371</v>
      </c>
      <c r="L23" s="14">
        <f t="shared" si="0"/>
        <v>6.6</v>
      </c>
    </row>
    <row r="24" spans="1:12" ht="19.5" x14ac:dyDescent="0.4">
      <c r="A24" s="1">
        <v>23</v>
      </c>
      <c r="B24" s="1" t="s">
        <v>7</v>
      </c>
      <c r="C24" s="1">
        <v>2019</v>
      </c>
      <c r="D24" t="s">
        <v>17</v>
      </c>
      <c r="E24" s="3">
        <v>142625</v>
      </c>
      <c r="F24" s="3">
        <v>28256</v>
      </c>
      <c r="G24" s="13">
        <f>LN(F24/E24)</f>
        <v>-1.6189129837606901</v>
      </c>
      <c r="H24" s="4">
        <v>23.4</v>
      </c>
      <c r="I24" s="4">
        <f>((160*(1/10)*H24)+H24*(1/20)*874.5)*2</f>
        <v>2795.13</v>
      </c>
      <c r="J24" s="12">
        <v>10775</v>
      </c>
      <c r="K24" s="12">
        <v>46523</v>
      </c>
      <c r="L24" s="14">
        <f t="shared" si="0"/>
        <v>23.4</v>
      </c>
    </row>
    <row r="25" spans="1:12" ht="19.5" x14ac:dyDescent="0.4">
      <c r="A25" s="1">
        <v>24</v>
      </c>
      <c r="B25" s="1" t="s">
        <v>7</v>
      </c>
      <c r="C25" s="1">
        <v>2019</v>
      </c>
      <c r="D25" t="s">
        <v>18</v>
      </c>
      <c r="E25" s="3">
        <v>56869</v>
      </c>
      <c r="F25" s="3">
        <v>5143</v>
      </c>
      <c r="G25" s="13">
        <f>LN(F25/E25)</f>
        <v>-2.4031138104079042</v>
      </c>
      <c r="H25" s="4">
        <f>18.4*2</f>
        <v>36.799999999999997</v>
      </c>
      <c r="I25" s="4">
        <f>((160*(1/10)*H25)+H25*(1/20)*874.5)*2</f>
        <v>4395.76</v>
      </c>
      <c r="J25" s="12">
        <v>4168</v>
      </c>
      <c r="K25" s="12">
        <v>19403</v>
      </c>
      <c r="L25" s="14">
        <f t="shared" si="0"/>
        <v>36.799999999999997</v>
      </c>
    </row>
    <row r="26" spans="1:12" ht="19.5" x14ac:dyDescent="0.4">
      <c r="A26" s="1">
        <v>25</v>
      </c>
      <c r="B26" s="1" t="s">
        <v>7</v>
      </c>
      <c r="C26" s="1">
        <v>2019</v>
      </c>
      <c r="D26" t="s">
        <v>19</v>
      </c>
      <c r="E26" s="3">
        <v>121056</v>
      </c>
      <c r="F26" s="3">
        <v>12416</v>
      </c>
      <c r="G26" s="13">
        <f>LN(F26/E26)</f>
        <v>-2.2772672850097559</v>
      </c>
      <c r="H26" s="4">
        <f>24.1*2</f>
        <v>48.2</v>
      </c>
      <c r="I26" s="4">
        <f>((160*(1/10)*H26)+H26*(1/20)*874.5)*2</f>
        <v>5757.49</v>
      </c>
      <c r="J26" s="12">
        <v>8520</v>
      </c>
      <c r="K26" s="12">
        <v>38101</v>
      </c>
      <c r="L26" s="14">
        <f t="shared" si="0"/>
        <v>48.2</v>
      </c>
    </row>
    <row r="27" spans="1:12" ht="19.5" x14ac:dyDescent="0.4">
      <c r="A27" s="5">
        <v>26</v>
      </c>
      <c r="B27" s="5" t="s">
        <v>7</v>
      </c>
      <c r="C27" s="5">
        <v>2019</v>
      </c>
      <c r="D27" s="6" t="s">
        <v>20</v>
      </c>
      <c r="E27" s="7">
        <v>58171</v>
      </c>
      <c r="F27" s="7">
        <v>4040</v>
      </c>
      <c r="G27" s="15">
        <f>LN(F27/E27)</f>
        <v>-2.6671422567937682</v>
      </c>
      <c r="H27" s="8">
        <f>26.8*2</f>
        <v>53.6</v>
      </c>
      <c r="I27" s="8">
        <f>((160*(1/10)*H27)+H27*(1/20)*874.5)*2</f>
        <v>6402.52</v>
      </c>
      <c r="J27" s="10">
        <v>3816</v>
      </c>
      <c r="K27" s="10">
        <v>19636</v>
      </c>
      <c r="L27" s="16">
        <f t="shared" si="0"/>
        <v>53.6</v>
      </c>
    </row>
    <row r="28" spans="1:12" ht="19.5" x14ac:dyDescent="0.4">
      <c r="A28" s="1">
        <v>27</v>
      </c>
      <c r="B28" s="1" t="s">
        <v>7</v>
      </c>
      <c r="C28" s="1">
        <v>2023</v>
      </c>
      <c r="D28" t="s">
        <v>8</v>
      </c>
      <c r="E28" s="3">
        <v>248680</v>
      </c>
      <c r="F28" s="3">
        <v>87689</v>
      </c>
      <c r="G28" s="13">
        <f>LN(F28/E28)</f>
        <v>-1.0423704654837687</v>
      </c>
      <c r="H28" s="4">
        <v>5.4</v>
      </c>
      <c r="I28" s="4">
        <f>((160*(1/10)*H28)+H28*(1/20)*874.5)*2</f>
        <v>645.03</v>
      </c>
      <c r="J28" s="12">
        <v>15767</v>
      </c>
      <c r="K28" s="12">
        <v>67093</v>
      </c>
      <c r="L28" s="14">
        <f t="shared" si="0"/>
        <v>5.4</v>
      </c>
    </row>
    <row r="29" spans="1:12" ht="19.5" x14ac:dyDescent="0.4">
      <c r="A29" s="1">
        <v>28</v>
      </c>
      <c r="B29" s="1" t="s">
        <v>7</v>
      </c>
      <c r="C29" s="1">
        <v>2023</v>
      </c>
      <c r="D29" t="s">
        <v>9</v>
      </c>
      <c r="E29" s="3">
        <v>289323</v>
      </c>
      <c r="F29" s="3">
        <v>21234</v>
      </c>
      <c r="G29" s="13">
        <f>LN(F29/E29)</f>
        <v>-2.6119400404773745</v>
      </c>
      <c r="H29" s="4">
        <v>11.8</v>
      </c>
      <c r="I29" s="4">
        <f>((160*(1/10)*H29)+H29*(1/20)*874.5)*2</f>
        <v>1409.5100000000002</v>
      </c>
      <c r="J29" s="12">
        <v>21442</v>
      </c>
      <c r="K29" s="12">
        <v>81653</v>
      </c>
      <c r="L29" s="14">
        <f t="shared" si="0"/>
        <v>11.8</v>
      </c>
    </row>
    <row r="30" spans="1:12" ht="19.5" x14ac:dyDescent="0.4">
      <c r="A30" s="1">
        <v>29</v>
      </c>
      <c r="B30" s="1" t="s">
        <v>7</v>
      </c>
      <c r="C30" s="1">
        <v>2023</v>
      </c>
      <c r="D30" t="s">
        <v>10</v>
      </c>
      <c r="E30" s="3">
        <v>265379</v>
      </c>
      <c r="F30" s="3">
        <v>20952</v>
      </c>
      <c r="G30" s="13">
        <f>LN(F30/E30)</f>
        <v>-2.5389248857143043</v>
      </c>
      <c r="H30" s="4">
        <v>13</v>
      </c>
      <c r="I30" s="4">
        <f>((160*(1/10)*H30)+H30*(1/20)*874.5)*2</f>
        <v>1552.8500000000001</v>
      </c>
      <c r="J30" s="12">
        <v>19571</v>
      </c>
      <c r="K30" s="12">
        <v>74654</v>
      </c>
      <c r="L30" s="14">
        <f t="shared" si="0"/>
        <v>13</v>
      </c>
    </row>
    <row r="31" spans="1:12" ht="19.5" x14ac:dyDescent="0.4">
      <c r="A31" s="1">
        <v>30</v>
      </c>
      <c r="B31" s="1" t="s">
        <v>7</v>
      </c>
      <c r="C31" s="1">
        <v>2023</v>
      </c>
      <c r="D31" t="s">
        <v>11</v>
      </c>
      <c r="E31" s="3">
        <v>211835</v>
      </c>
      <c r="F31" s="3">
        <v>15494</v>
      </c>
      <c r="G31" s="13">
        <f>LN(F31/E31)</f>
        <v>-2.615354817541351</v>
      </c>
      <c r="H31" s="4">
        <v>16.600000000000001</v>
      </c>
      <c r="I31" s="4">
        <f>((160*(1/10)*H31)+H31*(1/20)*874.5)*2</f>
        <v>1982.8700000000001</v>
      </c>
      <c r="J31" s="12">
        <v>15073</v>
      </c>
      <c r="K31" s="12">
        <v>53700</v>
      </c>
      <c r="L31" s="14">
        <f t="shared" si="0"/>
        <v>16.600000000000001</v>
      </c>
    </row>
    <row r="32" spans="1:12" ht="19.5" x14ac:dyDescent="0.4">
      <c r="A32" s="1">
        <v>31</v>
      </c>
      <c r="B32" s="1" t="s">
        <v>7</v>
      </c>
      <c r="C32" s="1">
        <v>2023</v>
      </c>
      <c r="D32" t="s">
        <v>12</v>
      </c>
      <c r="E32" s="3">
        <v>125083</v>
      </c>
      <c r="F32" s="3">
        <v>9612</v>
      </c>
      <c r="G32" s="13">
        <f>LN(F32/E32)</f>
        <v>-2.5659651990776151</v>
      </c>
      <c r="H32" s="4">
        <v>32.799999999999997</v>
      </c>
      <c r="I32" s="4">
        <f>((160*(1/10)*H32)+H32*(1/20)*874.5)*2</f>
        <v>3917.9599999999996</v>
      </c>
      <c r="J32" s="12">
        <v>7751</v>
      </c>
      <c r="K32" s="12">
        <v>40932</v>
      </c>
      <c r="L32" s="14">
        <f t="shared" si="0"/>
        <v>32.799999999999997</v>
      </c>
    </row>
    <row r="33" spans="1:12" ht="19.5" x14ac:dyDescent="0.4">
      <c r="A33" s="1">
        <v>32</v>
      </c>
      <c r="B33" s="1" t="s">
        <v>7</v>
      </c>
      <c r="C33" s="1">
        <v>2023</v>
      </c>
      <c r="D33" t="s">
        <v>13</v>
      </c>
      <c r="E33" s="3">
        <v>225298</v>
      </c>
      <c r="F33" s="3">
        <v>16712</v>
      </c>
      <c r="G33" s="13">
        <f>LN(F33/E33)</f>
        <v>-2.6012969460917144</v>
      </c>
      <c r="H33" s="4">
        <v>14.8</v>
      </c>
      <c r="I33" s="4">
        <f>((160*(1/10)*H33)+H33*(1/20)*874.5)*2</f>
        <v>1767.8600000000001</v>
      </c>
      <c r="J33" s="12">
        <v>15548</v>
      </c>
      <c r="K33" s="12">
        <v>59284</v>
      </c>
      <c r="L33" s="14">
        <f t="shared" si="0"/>
        <v>14.8</v>
      </c>
    </row>
    <row r="34" spans="1:12" ht="19.5" x14ac:dyDescent="0.4">
      <c r="A34" s="1">
        <v>33</v>
      </c>
      <c r="B34" s="1" t="s">
        <v>7</v>
      </c>
      <c r="C34" s="1">
        <v>2023</v>
      </c>
      <c r="D34" t="s">
        <v>14</v>
      </c>
      <c r="E34" s="3">
        <v>225298</v>
      </c>
      <c r="F34" s="3">
        <v>10200</v>
      </c>
      <c r="G34" s="13">
        <f>LN(F34/E34)</f>
        <v>-3.0950362500557538</v>
      </c>
      <c r="H34" s="4">
        <v>28.8</v>
      </c>
      <c r="I34" s="4">
        <f>((160*(1/10)*H34)+H34*(1/20)*874.5)*2</f>
        <v>3440.1600000000003</v>
      </c>
      <c r="J34" s="12">
        <v>8519</v>
      </c>
      <c r="K34" s="12">
        <v>35078</v>
      </c>
      <c r="L34" s="14">
        <f t="shared" si="0"/>
        <v>28.8</v>
      </c>
    </row>
    <row r="35" spans="1:12" ht="19.5" x14ac:dyDescent="0.4">
      <c r="A35" s="1">
        <v>34</v>
      </c>
      <c r="B35" s="1" t="s">
        <v>7</v>
      </c>
      <c r="C35" s="1">
        <v>2023</v>
      </c>
      <c r="D35" t="s">
        <v>15</v>
      </c>
      <c r="E35" s="3">
        <v>135777</v>
      </c>
      <c r="F35" s="3">
        <v>12806</v>
      </c>
      <c r="G35" s="13">
        <f>LN(F35/E35)</f>
        <v>-2.3611000229680648</v>
      </c>
      <c r="H35" s="4">
        <v>17.600000000000001</v>
      </c>
      <c r="I35" s="4">
        <f>((160*(1/10)*H35)+H35*(1/20)*874.5)*2</f>
        <v>2102.3200000000002</v>
      </c>
      <c r="J35" s="12">
        <v>8295</v>
      </c>
      <c r="K35" s="12">
        <v>50017</v>
      </c>
      <c r="L35" s="14">
        <f t="shared" si="0"/>
        <v>17.600000000000001</v>
      </c>
    </row>
    <row r="36" spans="1:12" ht="19.5" x14ac:dyDescent="0.4">
      <c r="A36" s="1">
        <v>35</v>
      </c>
      <c r="B36" s="1" t="s">
        <v>7</v>
      </c>
      <c r="C36" s="1">
        <v>2023</v>
      </c>
      <c r="D36" t="s">
        <v>16</v>
      </c>
      <c r="E36" s="3">
        <v>217040</v>
      </c>
      <c r="F36" s="3">
        <v>31297</v>
      </c>
      <c r="G36" s="13">
        <f>LN(F36/E36)</f>
        <v>-1.9365594220435194</v>
      </c>
      <c r="H36" s="4">
        <v>6.6</v>
      </c>
      <c r="I36" s="4">
        <f>((160*(1/10)*H36)+H36*(1/20)*874.5)*2</f>
        <v>788.37000000000012</v>
      </c>
      <c r="J36" s="12">
        <v>16187</v>
      </c>
      <c r="K36" s="12">
        <v>63371</v>
      </c>
      <c r="L36" s="14">
        <f t="shared" si="0"/>
        <v>6.6</v>
      </c>
    </row>
    <row r="37" spans="1:12" ht="19.5" x14ac:dyDescent="0.4">
      <c r="A37" s="1">
        <v>36</v>
      </c>
      <c r="B37" s="1" t="s">
        <v>7</v>
      </c>
      <c r="C37" s="1">
        <v>2023</v>
      </c>
      <c r="D37" t="s">
        <v>17</v>
      </c>
      <c r="E37" s="3">
        <v>142625</v>
      </c>
      <c r="F37" s="3">
        <v>9502</v>
      </c>
      <c r="G37" s="13">
        <f>LN(F37/E37)</f>
        <v>-2.70871650541751</v>
      </c>
      <c r="H37" s="4">
        <v>23.4</v>
      </c>
      <c r="I37" s="4">
        <f>((160*(1/10)*H37)+H37*(1/20)*874.5)*2</f>
        <v>2795.13</v>
      </c>
      <c r="J37" s="12">
        <v>10775</v>
      </c>
      <c r="K37" s="12">
        <v>46523</v>
      </c>
      <c r="L37" s="14">
        <f t="shared" si="0"/>
        <v>23.4</v>
      </c>
    </row>
    <row r="38" spans="1:12" ht="19.5" x14ac:dyDescent="0.4">
      <c r="A38" s="1">
        <v>37</v>
      </c>
      <c r="B38" s="1" t="s">
        <v>7</v>
      </c>
      <c r="C38" s="1">
        <v>2023</v>
      </c>
      <c r="D38" t="s">
        <v>18</v>
      </c>
      <c r="E38" s="3">
        <v>56869</v>
      </c>
      <c r="F38" s="3">
        <v>2789</v>
      </c>
      <c r="G38" s="13">
        <f>LN(F38/E38)</f>
        <v>-3.0150672685553315</v>
      </c>
      <c r="H38" s="4">
        <f>18.4*2</f>
        <v>36.799999999999997</v>
      </c>
      <c r="I38" s="4">
        <f>((160*(1/10)*H38)+H38*(1/20)*874.5)*2</f>
        <v>4395.76</v>
      </c>
      <c r="J38" s="12">
        <v>4168</v>
      </c>
      <c r="K38" s="12">
        <v>19403</v>
      </c>
      <c r="L38" s="14">
        <f t="shared" si="0"/>
        <v>36.799999999999997</v>
      </c>
    </row>
    <row r="39" spans="1:12" ht="19.5" x14ac:dyDescent="0.4">
      <c r="A39" s="1">
        <v>38</v>
      </c>
      <c r="B39" s="1" t="s">
        <v>7</v>
      </c>
      <c r="C39" s="1">
        <v>2023</v>
      </c>
      <c r="D39" t="s">
        <v>19</v>
      </c>
      <c r="E39" s="3">
        <v>121056</v>
      </c>
      <c r="F39" s="3">
        <v>6732</v>
      </c>
      <c r="G39" s="13">
        <f>LN(F39/E39)</f>
        <v>-2.8893809721220594</v>
      </c>
      <c r="H39" s="4">
        <f>24.1*2</f>
        <v>48.2</v>
      </c>
      <c r="I39" s="4">
        <f>((160*(1/10)*H39)+H39*(1/20)*874.5)*2</f>
        <v>5757.49</v>
      </c>
      <c r="J39" s="12">
        <v>8520</v>
      </c>
      <c r="K39" s="12">
        <v>38101</v>
      </c>
      <c r="L39" s="14">
        <f t="shared" si="0"/>
        <v>48.2</v>
      </c>
    </row>
    <row r="40" spans="1:12" ht="19.5" x14ac:dyDescent="0.4">
      <c r="A40" s="5">
        <v>39</v>
      </c>
      <c r="B40" s="5" t="s">
        <v>7</v>
      </c>
      <c r="C40" s="5">
        <v>2023</v>
      </c>
      <c r="D40" s="6" t="s">
        <v>20</v>
      </c>
      <c r="E40" s="7">
        <v>58171</v>
      </c>
      <c r="F40" s="7">
        <v>2570</v>
      </c>
      <c r="G40" s="15">
        <f>LN(F40/E40)</f>
        <v>-3.1194810498596985</v>
      </c>
      <c r="H40" s="8">
        <f>26.8*2</f>
        <v>53.6</v>
      </c>
      <c r="I40" s="8">
        <f>((160*(1/10)*H40)+H40*(1/20)*874.5)*2</f>
        <v>6402.52</v>
      </c>
      <c r="J40" s="10">
        <v>3816</v>
      </c>
      <c r="K40" s="10">
        <v>19636</v>
      </c>
      <c r="L40" s="16">
        <f t="shared" si="0"/>
        <v>53.6</v>
      </c>
    </row>
    <row r="41" spans="1:12" ht="19.5" x14ac:dyDescent="0.4">
      <c r="A41" s="1">
        <v>40</v>
      </c>
      <c r="B41" s="1" t="s">
        <v>7</v>
      </c>
      <c r="C41" s="1">
        <v>2024</v>
      </c>
      <c r="D41" t="s">
        <v>8</v>
      </c>
      <c r="E41" s="3">
        <v>248680</v>
      </c>
      <c r="F41" s="3">
        <v>83218</v>
      </c>
      <c r="G41" s="13">
        <f>LN(F41/E41)</f>
        <v>-1.094703258819582</v>
      </c>
      <c r="H41" s="4">
        <v>5.4</v>
      </c>
      <c r="I41" s="4">
        <f>((160*(1/10)*H41)+H41*(1/20)*874.5)*2</f>
        <v>645.03</v>
      </c>
      <c r="J41" s="12">
        <v>15767</v>
      </c>
      <c r="K41" s="12">
        <v>67093</v>
      </c>
      <c r="L41" s="14">
        <f t="shared" si="0"/>
        <v>5.4</v>
      </c>
    </row>
    <row r="42" spans="1:12" ht="19.5" x14ac:dyDescent="0.4">
      <c r="A42" s="1">
        <v>41</v>
      </c>
      <c r="B42" s="1" t="s">
        <v>7</v>
      </c>
      <c r="C42" s="1">
        <v>2024</v>
      </c>
      <c r="D42" t="s">
        <v>9</v>
      </c>
      <c r="E42" s="3">
        <v>289323</v>
      </c>
      <c r="F42" s="3">
        <v>26710</v>
      </c>
      <c r="G42" s="13">
        <f>LN(F42/E42)</f>
        <v>-2.3825056839468863</v>
      </c>
      <c r="H42" s="4">
        <v>11.8</v>
      </c>
      <c r="I42" s="4">
        <f>((160*(1/10)*H42)+H42*(1/20)*874.5)*2</f>
        <v>1409.5100000000002</v>
      </c>
      <c r="J42" s="12">
        <v>21442</v>
      </c>
      <c r="K42" s="12">
        <v>81653</v>
      </c>
      <c r="L42" s="14">
        <f t="shared" si="0"/>
        <v>11.8</v>
      </c>
    </row>
    <row r="43" spans="1:12" ht="19.5" x14ac:dyDescent="0.4">
      <c r="A43" s="1">
        <v>42</v>
      </c>
      <c r="B43" s="1" t="s">
        <v>7</v>
      </c>
      <c r="C43" s="1">
        <v>2024</v>
      </c>
      <c r="D43" t="s">
        <v>10</v>
      </c>
      <c r="E43" s="3">
        <v>265379</v>
      </c>
      <c r="F43" s="3">
        <v>22707</v>
      </c>
      <c r="G43" s="13">
        <f>LN(F43/E43)</f>
        <v>-2.458485745924575</v>
      </c>
      <c r="H43" s="4">
        <v>13</v>
      </c>
      <c r="I43" s="4">
        <f>((160*(1/10)*H43)+H43*(1/20)*874.5)*2</f>
        <v>1552.8500000000001</v>
      </c>
      <c r="J43" s="12">
        <v>19571</v>
      </c>
      <c r="K43" s="12">
        <v>74654</v>
      </c>
      <c r="L43" s="14">
        <f t="shared" si="0"/>
        <v>13</v>
      </c>
    </row>
    <row r="44" spans="1:12" ht="19.5" x14ac:dyDescent="0.4">
      <c r="A44" s="1">
        <v>43</v>
      </c>
      <c r="B44" s="1" t="s">
        <v>7</v>
      </c>
      <c r="C44" s="1">
        <v>2024</v>
      </c>
      <c r="D44" t="s">
        <v>11</v>
      </c>
      <c r="E44" s="3">
        <v>211835</v>
      </c>
      <c r="F44" s="3">
        <v>20311</v>
      </c>
      <c r="G44" s="13">
        <f>LN(F44/E44)</f>
        <v>-2.3446450585417127</v>
      </c>
      <c r="H44" s="4">
        <v>16.600000000000001</v>
      </c>
      <c r="I44" s="4">
        <f>((160*(1/10)*H44)+H44*(1/20)*874.5)*2</f>
        <v>1982.8700000000001</v>
      </c>
      <c r="J44" s="12">
        <v>15073</v>
      </c>
      <c r="K44" s="12">
        <v>53700</v>
      </c>
      <c r="L44" s="14">
        <f t="shared" si="0"/>
        <v>16.600000000000001</v>
      </c>
    </row>
    <row r="45" spans="1:12" ht="19.5" x14ac:dyDescent="0.4">
      <c r="A45" s="1">
        <v>44</v>
      </c>
      <c r="B45" s="1" t="s">
        <v>7</v>
      </c>
      <c r="C45" s="1">
        <v>2024</v>
      </c>
      <c r="D45" t="s">
        <v>12</v>
      </c>
      <c r="E45" s="3">
        <v>125083</v>
      </c>
      <c r="F45" s="3">
        <v>8927</v>
      </c>
      <c r="G45" s="13">
        <f>LN(F45/E45)</f>
        <v>-2.6398971247546124</v>
      </c>
      <c r="H45" s="4">
        <v>32.799999999999997</v>
      </c>
      <c r="I45" s="4">
        <f>((160*(1/10)*H45)+H45*(1/20)*874.5)*2</f>
        <v>3917.9599999999996</v>
      </c>
      <c r="J45" s="12">
        <v>7751</v>
      </c>
      <c r="K45" s="12">
        <v>40932</v>
      </c>
      <c r="L45" s="14">
        <f t="shared" si="0"/>
        <v>32.799999999999997</v>
      </c>
    </row>
    <row r="46" spans="1:12" ht="19.5" x14ac:dyDescent="0.4">
      <c r="A46" s="1">
        <v>45</v>
      </c>
      <c r="B46" s="1" t="s">
        <v>7</v>
      </c>
      <c r="C46" s="1">
        <v>2024</v>
      </c>
      <c r="D46" t="s">
        <v>13</v>
      </c>
      <c r="E46" s="3">
        <v>225298</v>
      </c>
      <c r="F46" s="3">
        <v>20314</v>
      </c>
      <c r="G46" s="13">
        <f>LN(F46/E46)</f>
        <v>-2.4061136668286696</v>
      </c>
      <c r="H46" s="4">
        <v>14.8</v>
      </c>
      <c r="I46" s="4">
        <f>((160*(1/10)*H46)+H46*(1/20)*874.5)*2</f>
        <v>1767.8600000000001</v>
      </c>
      <c r="J46" s="12">
        <v>15548</v>
      </c>
      <c r="K46" s="12">
        <v>59284</v>
      </c>
      <c r="L46" s="14">
        <f t="shared" si="0"/>
        <v>14.8</v>
      </c>
    </row>
    <row r="47" spans="1:12" ht="19.5" x14ac:dyDescent="0.4">
      <c r="A47" s="1">
        <v>46</v>
      </c>
      <c r="B47" s="1" t="s">
        <v>7</v>
      </c>
      <c r="C47" s="1">
        <v>2024</v>
      </c>
      <c r="D47" t="s">
        <v>14</v>
      </c>
      <c r="E47" s="3">
        <v>225298</v>
      </c>
      <c r="F47" s="3">
        <v>9398</v>
      </c>
      <c r="G47" s="13">
        <f>LN(F47/E47)</f>
        <v>-3.1769270696653549</v>
      </c>
      <c r="H47" s="4">
        <v>28.8</v>
      </c>
      <c r="I47" s="4">
        <f>((160*(1/10)*H47)+H47*(1/20)*874.5)*2</f>
        <v>3440.1600000000003</v>
      </c>
      <c r="J47" s="12">
        <v>8519</v>
      </c>
      <c r="K47" s="12">
        <v>35078</v>
      </c>
      <c r="L47" s="14">
        <f t="shared" si="0"/>
        <v>28.8</v>
      </c>
    </row>
    <row r="48" spans="1:12" ht="19.5" x14ac:dyDescent="0.4">
      <c r="A48" s="1">
        <v>47</v>
      </c>
      <c r="B48" s="1" t="s">
        <v>7</v>
      </c>
      <c r="C48" s="1">
        <v>2024</v>
      </c>
      <c r="D48" t="s">
        <v>15</v>
      </c>
      <c r="E48" s="3">
        <v>135777</v>
      </c>
      <c r="F48" s="3">
        <v>12516</v>
      </c>
      <c r="G48" s="13">
        <f>LN(F48/E48)</f>
        <v>-2.3840060082580399</v>
      </c>
      <c r="H48" s="4">
        <v>17.600000000000001</v>
      </c>
      <c r="I48" s="4">
        <f>((160*(1/10)*H48)+H48*(1/20)*874.5)*2</f>
        <v>2102.3200000000002</v>
      </c>
      <c r="J48" s="12">
        <v>8295</v>
      </c>
      <c r="K48" s="12">
        <v>50017</v>
      </c>
      <c r="L48" s="14">
        <f t="shared" si="0"/>
        <v>17.600000000000001</v>
      </c>
    </row>
    <row r="49" spans="1:12" ht="19.5" x14ac:dyDescent="0.4">
      <c r="A49" s="1">
        <v>48</v>
      </c>
      <c r="B49" s="1" t="s">
        <v>7</v>
      </c>
      <c r="C49" s="1">
        <v>2024</v>
      </c>
      <c r="D49" t="s">
        <v>16</v>
      </c>
      <c r="E49" s="3">
        <v>217040</v>
      </c>
      <c r="F49" s="3">
        <v>28215</v>
      </c>
      <c r="G49" s="13">
        <f>LN(F49/E49)</f>
        <v>-2.0402279169295729</v>
      </c>
      <c r="H49" s="4">
        <v>6.6</v>
      </c>
      <c r="I49" s="4">
        <f>((160*(1/10)*H49)+H49*(1/20)*874.5)*2</f>
        <v>788.37000000000012</v>
      </c>
      <c r="J49" s="12">
        <v>16187</v>
      </c>
      <c r="K49" s="12">
        <v>63371</v>
      </c>
      <c r="L49" s="14">
        <f t="shared" si="0"/>
        <v>6.6</v>
      </c>
    </row>
    <row r="50" spans="1:12" ht="19.5" x14ac:dyDescent="0.4">
      <c r="A50" s="1">
        <v>49</v>
      </c>
      <c r="B50" s="1" t="s">
        <v>7</v>
      </c>
      <c r="C50" s="1">
        <v>2024</v>
      </c>
      <c r="D50" t="s">
        <v>17</v>
      </c>
      <c r="E50" s="3">
        <v>142625</v>
      </c>
      <c r="F50" s="3">
        <v>10631</v>
      </c>
      <c r="G50" s="13">
        <f>LN(F50/E50)</f>
        <v>-2.5964445468757713</v>
      </c>
      <c r="H50" s="4">
        <v>23.4</v>
      </c>
      <c r="I50" s="4">
        <f>((160*(1/10)*H50)+H50*(1/20)*874.5)*2</f>
        <v>2795.13</v>
      </c>
      <c r="J50" s="12">
        <v>10775</v>
      </c>
      <c r="K50" s="12">
        <v>46523</v>
      </c>
      <c r="L50" s="14">
        <f t="shared" si="0"/>
        <v>23.4</v>
      </c>
    </row>
    <row r="51" spans="1:12" ht="19.5" x14ac:dyDescent="0.4">
      <c r="A51" s="1">
        <v>50</v>
      </c>
      <c r="B51" s="1" t="s">
        <v>7</v>
      </c>
      <c r="C51" s="1">
        <v>2024</v>
      </c>
      <c r="D51" t="s">
        <v>18</v>
      </c>
      <c r="E51" s="3">
        <v>56869</v>
      </c>
      <c r="F51" s="3">
        <v>2388</v>
      </c>
      <c r="G51" s="13">
        <f>LN(F51/E51)</f>
        <v>-3.1702941816703274</v>
      </c>
      <c r="H51" s="4">
        <f>18.4*2</f>
        <v>36.799999999999997</v>
      </c>
      <c r="I51" s="4">
        <f>((160*(1/10)*H51)+H51*(1/20)*874.5)*2</f>
        <v>4395.76</v>
      </c>
      <c r="J51" s="12">
        <v>4168</v>
      </c>
      <c r="K51" s="12">
        <v>19403</v>
      </c>
      <c r="L51" s="14">
        <f t="shared" si="0"/>
        <v>36.799999999999997</v>
      </c>
    </row>
    <row r="52" spans="1:12" ht="19.5" x14ac:dyDescent="0.4">
      <c r="A52" s="1">
        <v>51</v>
      </c>
      <c r="B52" s="1" t="s">
        <v>7</v>
      </c>
      <c r="C52" s="1">
        <v>2024</v>
      </c>
      <c r="D52" t="s">
        <v>19</v>
      </c>
      <c r="E52" s="3">
        <v>121056</v>
      </c>
      <c r="F52" s="3">
        <v>4196</v>
      </c>
      <c r="G52" s="13">
        <f>LN(F52/E52)</f>
        <v>-3.3621215579165677</v>
      </c>
      <c r="H52" s="4">
        <f>24.1*2</f>
        <v>48.2</v>
      </c>
      <c r="I52" s="4">
        <f>((160*(1/10)*H52)+H52*(1/20)*874.5)*2</f>
        <v>5757.49</v>
      </c>
      <c r="J52" s="12">
        <v>8520</v>
      </c>
      <c r="K52" s="12">
        <v>38101</v>
      </c>
      <c r="L52" s="14">
        <f t="shared" si="0"/>
        <v>48.2</v>
      </c>
    </row>
    <row r="53" spans="1:12" ht="19.5" x14ac:dyDescent="0.4">
      <c r="A53" s="5">
        <v>52</v>
      </c>
      <c r="B53" s="5" t="s">
        <v>7</v>
      </c>
      <c r="C53" s="5">
        <v>2024</v>
      </c>
      <c r="D53" s="6" t="s">
        <v>20</v>
      </c>
      <c r="E53" s="7">
        <v>58171</v>
      </c>
      <c r="F53" s="7">
        <v>3293</v>
      </c>
      <c r="G53" s="15">
        <f>LN(F53/E53)</f>
        <v>-2.8715879453725996</v>
      </c>
      <c r="H53" s="8">
        <f>26.8*2</f>
        <v>53.6</v>
      </c>
      <c r="I53" s="8">
        <f>((160*(1/10)*H53)+H53*(1/20)*874.5)*2</f>
        <v>6402.52</v>
      </c>
      <c r="J53" s="10">
        <v>3816</v>
      </c>
      <c r="K53" s="10">
        <v>19636</v>
      </c>
      <c r="L53" s="16">
        <f t="shared" si="0"/>
        <v>53.6</v>
      </c>
    </row>
    <row r="54" spans="1:12" ht="19.5" x14ac:dyDescent="0.4">
      <c r="A54" s="1">
        <v>53</v>
      </c>
      <c r="B54" s="1" t="s">
        <v>22</v>
      </c>
      <c r="C54" s="1">
        <v>2018</v>
      </c>
      <c r="D54" t="s">
        <v>8</v>
      </c>
      <c r="E54" s="3">
        <v>248680</v>
      </c>
      <c r="F54" s="3">
        <v>5207</v>
      </c>
      <c r="G54" s="13">
        <f>LN(F54/E54)</f>
        <v>-3.8661630552203747</v>
      </c>
      <c r="H54" s="4">
        <v>24</v>
      </c>
      <c r="I54" s="4">
        <f>((160*(1/10)*H54)+H54*(1/20)*874.5)*2</f>
        <v>2866.8</v>
      </c>
      <c r="J54" s="12">
        <v>15767</v>
      </c>
      <c r="K54" s="12">
        <v>67093</v>
      </c>
      <c r="L54" s="14">
        <f t="shared" ref="L54:L105" si="1">H54</f>
        <v>24</v>
      </c>
    </row>
    <row r="55" spans="1:12" ht="19.5" x14ac:dyDescent="0.4">
      <c r="A55" s="1">
        <v>54</v>
      </c>
      <c r="B55" s="1" t="s">
        <v>22</v>
      </c>
      <c r="C55" s="1">
        <v>2018</v>
      </c>
      <c r="D55" t="s">
        <v>9</v>
      </c>
      <c r="E55" s="3">
        <v>289323</v>
      </c>
      <c r="F55" s="3">
        <v>12567</v>
      </c>
      <c r="G55" s="13">
        <f>LN(F55/E55)</f>
        <v>-3.1364693804357482</v>
      </c>
      <c r="H55" s="4">
        <v>20</v>
      </c>
      <c r="I55" s="4">
        <f>((160*(1/10)*H55)+H55*(1/20)*874.5)*2</f>
        <v>2389</v>
      </c>
      <c r="J55" s="12">
        <v>21442</v>
      </c>
      <c r="K55" s="12">
        <v>81653</v>
      </c>
      <c r="L55" s="14">
        <f t="shared" si="1"/>
        <v>20</v>
      </c>
    </row>
    <row r="56" spans="1:12" ht="19.5" x14ac:dyDescent="0.4">
      <c r="A56" s="1">
        <v>55</v>
      </c>
      <c r="B56" s="1" t="s">
        <v>22</v>
      </c>
      <c r="C56" s="1">
        <v>2018</v>
      </c>
      <c r="D56" t="s">
        <v>10</v>
      </c>
      <c r="E56" s="3">
        <v>265379</v>
      </c>
      <c r="F56" s="3">
        <v>24514</v>
      </c>
      <c r="G56" s="13">
        <f>LN(F56/E56)</f>
        <v>-2.3819146100007416</v>
      </c>
      <c r="H56" s="4">
        <v>18.2</v>
      </c>
      <c r="I56" s="4">
        <f>((160*(1/10)*H56)+H56*(1/20)*874.5)*2</f>
        <v>2173.9900000000002</v>
      </c>
      <c r="J56" s="12">
        <v>19571</v>
      </c>
      <c r="K56" s="12">
        <v>74654</v>
      </c>
      <c r="L56" s="14">
        <f t="shared" si="1"/>
        <v>18.2</v>
      </c>
    </row>
    <row r="57" spans="1:12" ht="19.5" x14ac:dyDescent="0.4">
      <c r="A57" s="1">
        <v>56</v>
      </c>
      <c r="B57" s="1" t="s">
        <v>22</v>
      </c>
      <c r="C57" s="1">
        <v>2018</v>
      </c>
      <c r="D57" t="s">
        <v>11</v>
      </c>
      <c r="E57" s="3">
        <v>211835</v>
      </c>
      <c r="F57" s="3">
        <v>9858</v>
      </c>
      <c r="G57" s="13">
        <f>LN(F57/E57)</f>
        <v>-3.0675243614678758</v>
      </c>
      <c r="H57" s="4">
        <v>22.2</v>
      </c>
      <c r="I57" s="4">
        <f>((160*(1/10)*H57)+H57*(1/20)*874.5)*2</f>
        <v>2651.79</v>
      </c>
      <c r="J57" s="12">
        <v>15073</v>
      </c>
      <c r="K57" s="12">
        <v>53700</v>
      </c>
      <c r="L57" s="14">
        <f t="shared" si="1"/>
        <v>22.2</v>
      </c>
    </row>
    <row r="58" spans="1:12" ht="19.5" x14ac:dyDescent="0.4">
      <c r="A58" s="1">
        <v>57</v>
      </c>
      <c r="B58" s="1" t="s">
        <v>22</v>
      </c>
      <c r="C58" s="1">
        <v>2018</v>
      </c>
      <c r="D58" t="s">
        <v>12</v>
      </c>
      <c r="E58" s="3">
        <v>125083</v>
      </c>
      <c r="F58" s="3">
        <v>2426</v>
      </c>
      <c r="G58" s="13">
        <f>LN(F58/E58)</f>
        <v>-3.942733706429979</v>
      </c>
      <c r="H58" s="4">
        <v>28.8</v>
      </c>
      <c r="I58" s="4">
        <f>((160*(1/10)*H58)+H58*(1/20)*874.5)*2</f>
        <v>3440.1600000000003</v>
      </c>
      <c r="J58" s="12">
        <v>7751</v>
      </c>
      <c r="K58" s="12">
        <v>40932</v>
      </c>
      <c r="L58" s="14">
        <f t="shared" si="1"/>
        <v>28.8</v>
      </c>
    </row>
    <row r="59" spans="1:12" ht="19.5" x14ac:dyDescent="0.4">
      <c r="A59" s="1">
        <v>58</v>
      </c>
      <c r="B59" s="1" t="s">
        <v>22</v>
      </c>
      <c r="C59" s="1">
        <v>2018</v>
      </c>
      <c r="D59" t="s">
        <v>13</v>
      </c>
      <c r="E59" s="3">
        <v>225298</v>
      </c>
      <c r="F59" s="3">
        <v>5080</v>
      </c>
      <c r="G59" s="13">
        <f>LN(F59/E59)</f>
        <v>-3.7921127087555884</v>
      </c>
      <c r="H59" s="4">
        <v>26.4</v>
      </c>
      <c r="I59" s="4">
        <f>((160*(1/10)*H59)+H59*(1/20)*874.5)*2</f>
        <v>3153.4800000000005</v>
      </c>
      <c r="J59" s="12">
        <v>15548</v>
      </c>
      <c r="K59" s="12">
        <v>59284</v>
      </c>
      <c r="L59" s="14">
        <f t="shared" si="1"/>
        <v>26.4</v>
      </c>
    </row>
    <row r="60" spans="1:12" ht="19.5" x14ac:dyDescent="0.4">
      <c r="A60" s="1">
        <v>59</v>
      </c>
      <c r="B60" s="1" t="s">
        <v>22</v>
      </c>
      <c r="C60" s="1">
        <v>2018</v>
      </c>
      <c r="D60" t="s">
        <v>14</v>
      </c>
      <c r="E60" s="3">
        <v>225298</v>
      </c>
      <c r="F60" s="3">
        <v>2134</v>
      </c>
      <c r="G60" s="13">
        <f>LN(F60/E60)</f>
        <v>-4.6594258174664169</v>
      </c>
      <c r="H60" s="4">
        <v>42.2</v>
      </c>
      <c r="I60" s="4">
        <f>((160*(1/10)*H60)+H60*(1/20)*874.5)*2</f>
        <v>5040.7900000000009</v>
      </c>
      <c r="J60" s="12">
        <v>8519</v>
      </c>
      <c r="K60" s="12">
        <v>35078</v>
      </c>
      <c r="L60" s="14">
        <f t="shared" si="1"/>
        <v>42.2</v>
      </c>
    </row>
    <row r="61" spans="1:12" ht="19.5" x14ac:dyDescent="0.4">
      <c r="A61" s="1">
        <v>60</v>
      </c>
      <c r="B61" s="1" t="s">
        <v>22</v>
      </c>
      <c r="C61" s="1">
        <v>2018</v>
      </c>
      <c r="D61" t="s">
        <v>15</v>
      </c>
      <c r="E61" s="3">
        <v>135777</v>
      </c>
      <c r="F61" s="3">
        <v>1426</v>
      </c>
      <c r="G61" s="13">
        <f>LN(F61/E61)</f>
        <v>-4.5561405120725711</v>
      </c>
      <c r="H61" s="4">
        <v>38.799999999999997</v>
      </c>
      <c r="I61" s="4">
        <f>((160*(1/10)*H61)+H61*(1/20)*874.5)*2</f>
        <v>4634.66</v>
      </c>
      <c r="J61" s="12">
        <v>8295</v>
      </c>
      <c r="K61" s="12">
        <v>50017</v>
      </c>
      <c r="L61" s="14">
        <f t="shared" si="1"/>
        <v>38.799999999999997</v>
      </c>
    </row>
    <row r="62" spans="1:12" ht="19.5" x14ac:dyDescent="0.4">
      <c r="A62" s="1">
        <v>61</v>
      </c>
      <c r="B62" s="1" t="s">
        <v>22</v>
      </c>
      <c r="C62" s="1">
        <v>2018</v>
      </c>
      <c r="D62" t="s">
        <v>16</v>
      </c>
      <c r="E62" s="3">
        <v>217040</v>
      </c>
      <c r="F62" s="3">
        <v>3402</v>
      </c>
      <c r="G62" s="13">
        <f>LN(F62/E62)</f>
        <v>-4.1557181743770064</v>
      </c>
      <c r="H62" s="4">
        <v>38.4</v>
      </c>
      <c r="I62" s="4">
        <f>((160*(1/10)*H62)+H62*(1/20)*874.5)*2</f>
        <v>4586.88</v>
      </c>
      <c r="J62" s="12">
        <v>16187</v>
      </c>
      <c r="K62" s="12">
        <v>63371</v>
      </c>
      <c r="L62" s="14">
        <f t="shared" si="1"/>
        <v>38.4</v>
      </c>
    </row>
    <row r="63" spans="1:12" ht="19.5" x14ac:dyDescent="0.4">
      <c r="A63" s="1">
        <v>62</v>
      </c>
      <c r="B63" s="1" t="s">
        <v>22</v>
      </c>
      <c r="C63" s="1">
        <v>2018</v>
      </c>
      <c r="D63" t="s">
        <v>17</v>
      </c>
      <c r="E63" s="3">
        <v>142625</v>
      </c>
      <c r="F63" s="3">
        <v>1153</v>
      </c>
      <c r="G63" s="13">
        <f>LN(F63/E63)</f>
        <v>-4.8178515668953175</v>
      </c>
      <c r="H63" s="4">
        <v>48.8</v>
      </c>
      <c r="I63" s="4">
        <f>((160*(1/10)*H63)+H63*(1/20)*874.5)*2</f>
        <v>5829.16</v>
      </c>
      <c r="J63" s="12">
        <v>10775</v>
      </c>
      <c r="K63" s="12">
        <v>46523</v>
      </c>
      <c r="L63" s="14">
        <f t="shared" si="1"/>
        <v>48.8</v>
      </c>
    </row>
    <row r="64" spans="1:12" ht="19.5" x14ac:dyDescent="0.4">
      <c r="A64" s="1">
        <v>63</v>
      </c>
      <c r="B64" s="1" t="s">
        <v>22</v>
      </c>
      <c r="C64" s="1">
        <v>2018</v>
      </c>
      <c r="D64" t="s">
        <v>18</v>
      </c>
      <c r="E64" s="3">
        <v>56869</v>
      </c>
      <c r="F64" s="3">
        <v>1494</v>
      </c>
      <c r="G64" s="13">
        <f>LN(F64/E64)</f>
        <v>-3.6392932904900577</v>
      </c>
      <c r="H64" s="4">
        <v>34.799999999999997</v>
      </c>
      <c r="I64" s="4">
        <f>((160*(1/10)*H64)+H64*(1/20)*874.5)*2</f>
        <v>4156.8599999999997</v>
      </c>
      <c r="J64" s="12">
        <v>4168</v>
      </c>
      <c r="K64" s="12">
        <v>19403</v>
      </c>
      <c r="L64" s="14">
        <f t="shared" si="1"/>
        <v>34.799999999999997</v>
      </c>
    </row>
    <row r="65" spans="1:12" ht="19.5" x14ac:dyDescent="0.4">
      <c r="A65" s="1">
        <v>64</v>
      </c>
      <c r="B65" s="1" t="s">
        <v>22</v>
      </c>
      <c r="C65" s="1">
        <v>2018</v>
      </c>
      <c r="D65" t="s">
        <v>19</v>
      </c>
      <c r="E65" s="3">
        <v>121056</v>
      </c>
      <c r="F65" s="3">
        <v>3739</v>
      </c>
      <c r="G65" s="13">
        <f>LN(F65/E65)</f>
        <v>-3.4774350524556419</v>
      </c>
      <c r="H65" s="4">
        <v>32.200000000000003</v>
      </c>
      <c r="I65" s="4">
        <f>((160*(1/10)*H65)+H65*(1/20)*874.5)*2</f>
        <v>3846.2900000000009</v>
      </c>
      <c r="J65" s="12">
        <v>8520</v>
      </c>
      <c r="K65" s="12">
        <v>38101</v>
      </c>
      <c r="L65" s="14">
        <f t="shared" si="1"/>
        <v>32.200000000000003</v>
      </c>
    </row>
    <row r="66" spans="1:12" ht="19.5" x14ac:dyDescent="0.4">
      <c r="A66" s="5">
        <v>65</v>
      </c>
      <c r="B66" s="5" t="s">
        <v>22</v>
      </c>
      <c r="C66" s="5">
        <v>2018</v>
      </c>
      <c r="D66" s="6" t="s">
        <v>20</v>
      </c>
      <c r="E66" s="7">
        <v>58171</v>
      </c>
      <c r="F66" s="7">
        <v>991</v>
      </c>
      <c r="G66" s="15">
        <f>LN(F66/E66)</f>
        <v>-4.0724276934189758</v>
      </c>
      <c r="H66" s="8">
        <v>57.8</v>
      </c>
      <c r="I66" s="8">
        <f>((160*(1/10)*H66)+H66*(1/20)*874.5)*2</f>
        <v>6904.2100000000009</v>
      </c>
      <c r="J66" s="10">
        <v>3816</v>
      </c>
      <c r="K66" s="10">
        <v>19636</v>
      </c>
      <c r="L66" s="16">
        <f t="shared" si="1"/>
        <v>57.8</v>
      </c>
    </row>
    <row r="67" spans="1:12" ht="19.5" x14ac:dyDescent="0.4">
      <c r="A67" s="1">
        <v>66</v>
      </c>
      <c r="B67" s="1" t="s">
        <v>22</v>
      </c>
      <c r="C67" s="1">
        <v>2019</v>
      </c>
      <c r="D67" t="s">
        <v>8</v>
      </c>
      <c r="E67" s="3">
        <v>248680</v>
      </c>
      <c r="F67" s="3">
        <v>8560</v>
      </c>
      <c r="G67" s="13">
        <f>LN(F67/E67)</f>
        <v>-3.369066739247486</v>
      </c>
      <c r="H67" s="4">
        <v>24</v>
      </c>
      <c r="I67" s="4">
        <f>((160*(1/10)*H67)+H67*(1/20)*874.5)*2</f>
        <v>2866.8</v>
      </c>
      <c r="J67" s="12">
        <v>15767</v>
      </c>
      <c r="K67" s="12">
        <v>67093</v>
      </c>
      <c r="L67" s="14">
        <f t="shared" si="1"/>
        <v>24</v>
      </c>
    </row>
    <row r="68" spans="1:12" ht="19.5" x14ac:dyDescent="0.4">
      <c r="A68" s="1">
        <v>67</v>
      </c>
      <c r="B68" s="1" t="s">
        <v>22</v>
      </c>
      <c r="C68" s="1">
        <v>2019</v>
      </c>
      <c r="D68" t="s">
        <v>9</v>
      </c>
      <c r="E68" s="3">
        <v>289323</v>
      </c>
      <c r="F68" s="3">
        <v>16387</v>
      </c>
      <c r="G68" s="13">
        <f>LN(F68/E68)</f>
        <v>-2.8710553735046687</v>
      </c>
      <c r="H68" s="4">
        <v>20</v>
      </c>
      <c r="I68" s="4">
        <f>((160*(1/10)*H68)+H68*(1/20)*874.5)*2</f>
        <v>2389</v>
      </c>
      <c r="J68" s="12">
        <v>21442</v>
      </c>
      <c r="K68" s="12">
        <v>81653</v>
      </c>
      <c r="L68" s="14">
        <f t="shared" si="1"/>
        <v>20</v>
      </c>
    </row>
    <row r="69" spans="1:12" ht="19.5" x14ac:dyDescent="0.4">
      <c r="A69" s="1">
        <v>68</v>
      </c>
      <c r="B69" s="1" t="s">
        <v>22</v>
      </c>
      <c r="C69" s="1">
        <v>2019</v>
      </c>
      <c r="D69" t="s">
        <v>10</v>
      </c>
      <c r="E69" s="3">
        <v>265379</v>
      </c>
      <c r="F69" s="3">
        <v>39070</v>
      </c>
      <c r="G69" s="13">
        <f>LN(F69/E69)</f>
        <v>-1.9158040838527359</v>
      </c>
      <c r="H69" s="4">
        <v>18.2</v>
      </c>
      <c r="I69" s="4">
        <f>((160*(1/10)*H69)+H69*(1/20)*874.5)*2</f>
        <v>2173.9900000000002</v>
      </c>
      <c r="J69" s="12">
        <v>19571</v>
      </c>
      <c r="K69" s="12">
        <v>74654</v>
      </c>
      <c r="L69" s="14">
        <f t="shared" si="1"/>
        <v>18.2</v>
      </c>
    </row>
    <row r="70" spans="1:12" ht="19.5" x14ac:dyDescent="0.4">
      <c r="A70" s="1">
        <v>69</v>
      </c>
      <c r="B70" s="1" t="s">
        <v>22</v>
      </c>
      <c r="C70" s="1">
        <v>2019</v>
      </c>
      <c r="D70" t="s">
        <v>11</v>
      </c>
      <c r="E70" s="3">
        <v>211835</v>
      </c>
      <c r="F70" s="3">
        <v>11125</v>
      </c>
      <c r="G70" s="13">
        <f>LN(F70/E70)</f>
        <v>-2.9466128416987578</v>
      </c>
      <c r="H70" s="4">
        <v>22.2</v>
      </c>
      <c r="I70" s="4">
        <f>((160*(1/10)*H70)+H70*(1/20)*874.5)*2</f>
        <v>2651.79</v>
      </c>
      <c r="J70" s="12">
        <v>15073</v>
      </c>
      <c r="K70" s="12">
        <v>53700</v>
      </c>
      <c r="L70" s="14">
        <f t="shared" si="1"/>
        <v>22.2</v>
      </c>
    </row>
    <row r="71" spans="1:12" ht="19.5" x14ac:dyDescent="0.4">
      <c r="A71" s="1">
        <v>70</v>
      </c>
      <c r="B71" s="1" t="s">
        <v>22</v>
      </c>
      <c r="C71" s="1">
        <v>2019</v>
      </c>
      <c r="D71" t="s">
        <v>12</v>
      </c>
      <c r="E71" s="3">
        <v>125083</v>
      </c>
      <c r="F71" s="3">
        <v>4935</v>
      </c>
      <c r="G71" s="13">
        <f>LN(F71/E71)</f>
        <v>-3.2326248440663927</v>
      </c>
      <c r="H71" s="4">
        <v>28.8</v>
      </c>
      <c r="I71" s="4">
        <f>((160*(1/10)*H71)+H71*(1/20)*874.5)*2</f>
        <v>3440.1600000000003</v>
      </c>
      <c r="J71" s="12">
        <v>7751</v>
      </c>
      <c r="K71" s="12">
        <v>40932</v>
      </c>
      <c r="L71" s="14">
        <f t="shared" si="1"/>
        <v>28.8</v>
      </c>
    </row>
    <row r="72" spans="1:12" ht="19.5" x14ac:dyDescent="0.4">
      <c r="A72" s="1">
        <v>71</v>
      </c>
      <c r="B72" s="1" t="s">
        <v>22</v>
      </c>
      <c r="C72" s="1">
        <v>2019</v>
      </c>
      <c r="D72" t="s">
        <v>13</v>
      </c>
      <c r="E72" s="3">
        <v>225298</v>
      </c>
      <c r="F72" s="3">
        <v>7317</v>
      </c>
      <c r="G72" s="13">
        <f>LN(F72/E72)</f>
        <v>-3.4272235624440861</v>
      </c>
      <c r="H72" s="4">
        <v>26.4</v>
      </c>
      <c r="I72" s="4">
        <f>((160*(1/10)*H72)+H72*(1/20)*874.5)*2</f>
        <v>3153.4800000000005</v>
      </c>
      <c r="J72" s="12">
        <v>15548</v>
      </c>
      <c r="K72" s="12">
        <v>59284</v>
      </c>
      <c r="L72" s="14">
        <f t="shared" si="1"/>
        <v>26.4</v>
      </c>
    </row>
    <row r="73" spans="1:12" ht="19.5" x14ac:dyDescent="0.4">
      <c r="A73" s="1">
        <v>72</v>
      </c>
      <c r="B73" s="1" t="s">
        <v>22</v>
      </c>
      <c r="C73" s="1">
        <v>2019</v>
      </c>
      <c r="D73" t="s">
        <v>14</v>
      </c>
      <c r="E73" s="3">
        <v>225298</v>
      </c>
      <c r="F73" s="3">
        <v>3349</v>
      </c>
      <c r="G73" s="13">
        <f>LN(F73/E73)</f>
        <v>-4.2087621765339112</v>
      </c>
      <c r="H73" s="4">
        <v>42.2</v>
      </c>
      <c r="I73" s="4">
        <f>((160*(1/10)*H73)+H73*(1/20)*874.5)*2</f>
        <v>5040.7900000000009</v>
      </c>
      <c r="J73" s="12">
        <v>8519</v>
      </c>
      <c r="K73" s="12">
        <v>35078</v>
      </c>
      <c r="L73" s="14">
        <f t="shared" si="1"/>
        <v>42.2</v>
      </c>
    </row>
    <row r="74" spans="1:12" ht="19.5" x14ac:dyDescent="0.4">
      <c r="A74" s="1">
        <v>73</v>
      </c>
      <c r="B74" s="1" t="s">
        <v>22</v>
      </c>
      <c r="C74" s="1">
        <v>2019</v>
      </c>
      <c r="D74" t="s">
        <v>15</v>
      </c>
      <c r="E74" s="3">
        <v>135777</v>
      </c>
      <c r="F74" s="3">
        <v>2971</v>
      </c>
      <c r="G74" s="13">
        <f>LN(F74/E74)</f>
        <v>-3.8221152375842049</v>
      </c>
      <c r="H74" s="4">
        <v>38.799999999999997</v>
      </c>
      <c r="I74" s="4">
        <f>((160*(1/10)*H74)+H74*(1/20)*874.5)*2</f>
        <v>4634.66</v>
      </c>
      <c r="J74" s="12">
        <v>8295</v>
      </c>
      <c r="K74" s="12">
        <v>50017</v>
      </c>
      <c r="L74" s="14">
        <f t="shared" si="1"/>
        <v>38.799999999999997</v>
      </c>
    </row>
    <row r="75" spans="1:12" ht="19.5" x14ac:dyDescent="0.4">
      <c r="A75" s="1">
        <v>74</v>
      </c>
      <c r="B75" s="1" t="s">
        <v>22</v>
      </c>
      <c r="C75" s="1">
        <v>2019</v>
      </c>
      <c r="D75" t="s">
        <v>16</v>
      </c>
      <c r="E75" s="3">
        <v>217040</v>
      </c>
      <c r="F75" s="3">
        <v>8318</v>
      </c>
      <c r="G75" s="13">
        <f>LN(F75/E75)</f>
        <v>-3.2616598270299564</v>
      </c>
      <c r="H75" s="4">
        <v>38.4</v>
      </c>
      <c r="I75" s="4">
        <f>((160*(1/10)*H75)+H75*(1/20)*874.5)*2</f>
        <v>4586.88</v>
      </c>
      <c r="J75" s="12">
        <v>16187</v>
      </c>
      <c r="K75" s="12">
        <v>63371</v>
      </c>
      <c r="L75" s="14">
        <f t="shared" si="1"/>
        <v>38.4</v>
      </c>
    </row>
    <row r="76" spans="1:12" ht="19.5" x14ac:dyDescent="0.4">
      <c r="A76" s="1">
        <v>75</v>
      </c>
      <c r="B76" s="1" t="s">
        <v>22</v>
      </c>
      <c r="C76" s="1">
        <v>2019</v>
      </c>
      <c r="D76" t="s">
        <v>17</v>
      </c>
      <c r="E76" s="3">
        <v>142625</v>
      </c>
      <c r="F76" s="3">
        <v>3415</v>
      </c>
      <c r="G76" s="13">
        <f>LN(F76/E76)</f>
        <v>-3.7320413151594862</v>
      </c>
      <c r="H76" s="4">
        <v>48.8</v>
      </c>
      <c r="I76" s="4">
        <f>((160*(1/10)*H76)+H76*(1/20)*874.5)*2</f>
        <v>5829.16</v>
      </c>
      <c r="J76" s="12">
        <v>10775</v>
      </c>
      <c r="K76" s="12">
        <v>46523</v>
      </c>
      <c r="L76" s="14">
        <f t="shared" si="1"/>
        <v>48.8</v>
      </c>
    </row>
    <row r="77" spans="1:12" ht="19.5" x14ac:dyDescent="0.4">
      <c r="A77" s="1">
        <v>76</v>
      </c>
      <c r="B77" s="1" t="s">
        <v>22</v>
      </c>
      <c r="C77" s="1">
        <v>2019</v>
      </c>
      <c r="D77" t="s">
        <v>18</v>
      </c>
      <c r="E77" s="3">
        <v>56869</v>
      </c>
      <c r="F77" s="3">
        <v>1807</v>
      </c>
      <c r="G77" s="13">
        <f>LN(F77/E77)</f>
        <v>-3.4490823655905918</v>
      </c>
      <c r="H77" s="4">
        <v>34.799999999999997</v>
      </c>
      <c r="I77" s="4">
        <f>((160*(1/10)*H77)+H77*(1/20)*874.5)*2</f>
        <v>4156.8599999999997</v>
      </c>
      <c r="J77" s="12">
        <v>4168</v>
      </c>
      <c r="K77" s="12">
        <v>19403</v>
      </c>
      <c r="L77" s="14">
        <f t="shared" si="1"/>
        <v>34.799999999999997</v>
      </c>
    </row>
    <row r="78" spans="1:12" ht="19.5" x14ac:dyDescent="0.4">
      <c r="A78" s="1">
        <v>77</v>
      </c>
      <c r="B78" s="1" t="s">
        <v>22</v>
      </c>
      <c r="C78" s="1">
        <v>2019</v>
      </c>
      <c r="D78" t="s">
        <v>19</v>
      </c>
      <c r="E78" s="3">
        <v>121056</v>
      </c>
      <c r="F78" s="3">
        <v>7026</v>
      </c>
      <c r="G78" s="13">
        <f>LN(F78/E78)</f>
        <v>-2.8466356946069835</v>
      </c>
      <c r="H78" s="4">
        <v>32.200000000000003</v>
      </c>
      <c r="I78" s="4">
        <f>((160*(1/10)*H78)+H78*(1/20)*874.5)*2</f>
        <v>3846.2900000000009</v>
      </c>
      <c r="J78" s="12">
        <v>8520</v>
      </c>
      <c r="K78" s="12">
        <v>38101</v>
      </c>
      <c r="L78" s="14">
        <f t="shared" si="1"/>
        <v>32.200000000000003</v>
      </c>
    </row>
    <row r="79" spans="1:12" ht="19.5" x14ac:dyDescent="0.4">
      <c r="A79" s="5">
        <v>78</v>
      </c>
      <c r="B79" s="5" t="s">
        <v>22</v>
      </c>
      <c r="C79" s="5">
        <v>2019</v>
      </c>
      <c r="D79" s="6" t="s">
        <v>20</v>
      </c>
      <c r="E79" s="7">
        <v>58171</v>
      </c>
      <c r="F79" s="7">
        <v>1736</v>
      </c>
      <c r="G79" s="15">
        <f>LN(F79/E79)</f>
        <v>-3.5118033325286686</v>
      </c>
      <c r="H79" s="8">
        <v>57.8</v>
      </c>
      <c r="I79" s="8">
        <f>((160*(1/10)*H79)+H79*(1/20)*874.5)*2</f>
        <v>6904.2100000000009</v>
      </c>
      <c r="J79" s="10">
        <v>3816</v>
      </c>
      <c r="K79" s="10">
        <v>19636</v>
      </c>
      <c r="L79" s="16">
        <f t="shared" si="1"/>
        <v>57.8</v>
      </c>
    </row>
    <row r="80" spans="1:12" ht="19.5" x14ac:dyDescent="0.4">
      <c r="A80" s="1">
        <v>79</v>
      </c>
      <c r="B80" s="1" t="s">
        <v>22</v>
      </c>
      <c r="C80" s="1">
        <v>2023</v>
      </c>
      <c r="D80" t="s">
        <v>8</v>
      </c>
      <c r="E80" s="3">
        <v>248680</v>
      </c>
      <c r="F80" s="3">
        <v>6064</v>
      </c>
      <c r="G80" s="13">
        <f>LN(F80/E80)</f>
        <v>-3.713797281061066</v>
      </c>
      <c r="H80" s="4">
        <v>24</v>
      </c>
      <c r="I80" s="4">
        <f>((160*(1/10)*H80)+H80*(1/20)*874.5)*2</f>
        <v>2866.8</v>
      </c>
      <c r="J80" s="12">
        <v>15767</v>
      </c>
      <c r="K80" s="12">
        <v>67093</v>
      </c>
      <c r="L80" s="14">
        <f t="shared" si="1"/>
        <v>24</v>
      </c>
    </row>
    <row r="81" spans="1:12" ht="19.5" x14ac:dyDescent="0.4">
      <c r="A81" s="1">
        <v>80</v>
      </c>
      <c r="B81" s="1" t="s">
        <v>22</v>
      </c>
      <c r="C81" s="1">
        <v>2023</v>
      </c>
      <c r="D81" t="s">
        <v>9</v>
      </c>
      <c r="E81" s="3">
        <v>289323</v>
      </c>
      <c r="F81" s="3">
        <v>14047</v>
      </c>
      <c r="G81" s="13">
        <f>LN(F81/E81)</f>
        <v>-3.0251348612199833</v>
      </c>
      <c r="H81" s="4">
        <v>20</v>
      </c>
      <c r="I81" s="4">
        <f>((160*(1/10)*H81)+H81*(1/20)*874.5)*2</f>
        <v>2389</v>
      </c>
      <c r="J81" s="12">
        <v>21442</v>
      </c>
      <c r="K81" s="12">
        <v>81653</v>
      </c>
      <c r="L81" s="14">
        <f t="shared" si="1"/>
        <v>20</v>
      </c>
    </row>
    <row r="82" spans="1:12" ht="19.5" x14ac:dyDescent="0.4">
      <c r="A82" s="1">
        <v>81</v>
      </c>
      <c r="B82" s="1" t="s">
        <v>22</v>
      </c>
      <c r="C82" s="1">
        <v>2023</v>
      </c>
      <c r="D82" t="s">
        <v>10</v>
      </c>
      <c r="E82" s="3">
        <v>265379</v>
      </c>
      <c r="F82" s="3">
        <v>42620</v>
      </c>
      <c r="G82" s="13">
        <f>LN(F82/E82)</f>
        <v>-1.8288353662492443</v>
      </c>
      <c r="H82" s="4">
        <v>18.2</v>
      </c>
      <c r="I82" s="4">
        <f>((160*(1/10)*H82)+H82*(1/20)*874.5)*2</f>
        <v>2173.9900000000002</v>
      </c>
      <c r="J82" s="12">
        <v>19571</v>
      </c>
      <c r="K82" s="12">
        <v>74654</v>
      </c>
      <c r="L82" s="14">
        <f t="shared" si="1"/>
        <v>18.2</v>
      </c>
    </row>
    <row r="83" spans="1:12" ht="19.5" x14ac:dyDescent="0.4">
      <c r="A83" s="1">
        <v>82</v>
      </c>
      <c r="B83" s="1" t="s">
        <v>22</v>
      </c>
      <c r="C83" s="1">
        <v>2023</v>
      </c>
      <c r="D83" t="s">
        <v>11</v>
      </c>
      <c r="E83" s="3">
        <v>211835</v>
      </c>
      <c r="F83" s="3">
        <v>5605</v>
      </c>
      <c r="G83" s="13">
        <f>LN(F83/E83)</f>
        <v>-3.6321486132269385</v>
      </c>
      <c r="H83" s="4">
        <v>22.2</v>
      </c>
      <c r="I83" s="4">
        <f>((160*(1/10)*H83)+H83*(1/20)*874.5)*2</f>
        <v>2651.79</v>
      </c>
      <c r="J83" s="12">
        <v>15073</v>
      </c>
      <c r="K83" s="12">
        <v>53700</v>
      </c>
      <c r="L83" s="14">
        <f t="shared" si="1"/>
        <v>22.2</v>
      </c>
    </row>
    <row r="84" spans="1:12" ht="19.5" x14ac:dyDescent="0.4">
      <c r="A84" s="1">
        <v>83</v>
      </c>
      <c r="B84" s="1" t="s">
        <v>22</v>
      </c>
      <c r="C84" s="1">
        <v>2023</v>
      </c>
      <c r="D84" t="s">
        <v>12</v>
      </c>
      <c r="E84" s="3">
        <v>125083</v>
      </c>
      <c r="F84" s="3">
        <v>2422</v>
      </c>
      <c r="G84" s="13">
        <f>LN(F84/E84)</f>
        <v>-3.944383871820937</v>
      </c>
      <c r="H84" s="4">
        <v>28.8</v>
      </c>
      <c r="I84" s="4">
        <f>((160*(1/10)*H84)+H84*(1/20)*874.5)*2</f>
        <v>3440.1600000000003</v>
      </c>
      <c r="J84" s="12">
        <v>7751</v>
      </c>
      <c r="K84" s="12">
        <v>40932</v>
      </c>
      <c r="L84" s="14">
        <f t="shared" si="1"/>
        <v>28.8</v>
      </c>
    </row>
    <row r="85" spans="1:12" ht="19.5" x14ac:dyDescent="0.4">
      <c r="A85" s="1">
        <v>84</v>
      </c>
      <c r="B85" s="1" t="s">
        <v>22</v>
      </c>
      <c r="C85" s="1">
        <v>2023</v>
      </c>
      <c r="D85" t="s">
        <v>13</v>
      </c>
      <c r="E85" s="3">
        <v>225298</v>
      </c>
      <c r="F85" s="3">
        <v>6551</v>
      </c>
      <c r="G85" s="13">
        <f>LN(F85/E85)</f>
        <v>-3.5378062605962395</v>
      </c>
      <c r="H85" s="4">
        <v>26.4</v>
      </c>
      <c r="I85" s="4">
        <f>((160*(1/10)*H85)+H85*(1/20)*874.5)*2</f>
        <v>3153.4800000000005</v>
      </c>
      <c r="J85" s="12">
        <v>15548</v>
      </c>
      <c r="K85" s="12">
        <v>59284</v>
      </c>
      <c r="L85" s="14">
        <f t="shared" si="1"/>
        <v>26.4</v>
      </c>
    </row>
    <row r="86" spans="1:12" ht="19.5" x14ac:dyDescent="0.4">
      <c r="A86" s="1">
        <v>85</v>
      </c>
      <c r="B86" s="1" t="s">
        <v>22</v>
      </c>
      <c r="C86" s="1">
        <v>2023</v>
      </c>
      <c r="D86" t="s">
        <v>14</v>
      </c>
      <c r="E86" s="3">
        <v>225298</v>
      </c>
      <c r="F86" s="3">
        <v>2275</v>
      </c>
      <c r="G86" s="13">
        <f>LN(F86/E86)</f>
        <v>-4.5954439179430651</v>
      </c>
      <c r="H86" s="4">
        <v>42.2</v>
      </c>
      <c r="I86" s="4">
        <f>((160*(1/10)*H86)+H86*(1/20)*874.5)*2</f>
        <v>5040.7900000000009</v>
      </c>
      <c r="J86" s="12">
        <v>8519</v>
      </c>
      <c r="K86" s="12">
        <v>35078</v>
      </c>
      <c r="L86" s="14">
        <f t="shared" si="1"/>
        <v>42.2</v>
      </c>
    </row>
    <row r="87" spans="1:12" ht="19.5" x14ac:dyDescent="0.4">
      <c r="A87" s="1">
        <v>86</v>
      </c>
      <c r="B87" s="1" t="s">
        <v>22</v>
      </c>
      <c r="C87" s="1">
        <v>2023</v>
      </c>
      <c r="D87" t="s">
        <v>15</v>
      </c>
      <c r="E87" s="3">
        <v>135777</v>
      </c>
      <c r="F87" s="3">
        <v>3374</v>
      </c>
      <c r="G87" s="13">
        <f>LN(F87/E87)</f>
        <v>-3.6949148499408988</v>
      </c>
      <c r="H87" s="4">
        <v>38.799999999999997</v>
      </c>
      <c r="I87" s="4">
        <f>((160*(1/10)*H87)+H87*(1/20)*874.5)*2</f>
        <v>4634.66</v>
      </c>
      <c r="J87" s="12">
        <v>8295</v>
      </c>
      <c r="K87" s="12">
        <v>50017</v>
      </c>
      <c r="L87" s="14">
        <f t="shared" si="1"/>
        <v>38.799999999999997</v>
      </c>
    </row>
    <row r="88" spans="1:12" ht="19.5" x14ac:dyDescent="0.4">
      <c r="A88" s="1">
        <v>87</v>
      </c>
      <c r="B88" s="1" t="s">
        <v>22</v>
      </c>
      <c r="C88" s="1">
        <v>2023</v>
      </c>
      <c r="D88" t="s">
        <v>16</v>
      </c>
      <c r="E88" s="3">
        <v>217040</v>
      </c>
      <c r="F88" s="3">
        <v>5489</v>
      </c>
      <c r="G88" s="13">
        <f>LN(F88/E88)</f>
        <v>-3.6773355787829241</v>
      </c>
      <c r="H88" s="4">
        <v>38.4</v>
      </c>
      <c r="I88" s="4">
        <f>((160*(1/10)*H88)+H88*(1/20)*874.5)*2</f>
        <v>4586.88</v>
      </c>
      <c r="J88" s="12">
        <v>16187</v>
      </c>
      <c r="K88" s="12">
        <v>63371</v>
      </c>
      <c r="L88" s="14">
        <f t="shared" si="1"/>
        <v>38.4</v>
      </c>
    </row>
    <row r="89" spans="1:12" ht="19.5" x14ac:dyDescent="0.4">
      <c r="A89" s="1">
        <v>88</v>
      </c>
      <c r="B89" s="1" t="s">
        <v>22</v>
      </c>
      <c r="C89" s="1">
        <v>2023</v>
      </c>
      <c r="D89" t="s">
        <v>17</v>
      </c>
      <c r="E89" s="3">
        <v>142625</v>
      </c>
      <c r="F89" s="3">
        <v>3162</v>
      </c>
      <c r="G89" s="13">
        <f>LN(F89/E89)</f>
        <v>-3.8090140693949595</v>
      </c>
      <c r="H89" s="4">
        <v>48.8</v>
      </c>
      <c r="I89" s="4">
        <f>((160*(1/10)*H89)+H89*(1/20)*874.5)*2</f>
        <v>5829.16</v>
      </c>
      <c r="J89" s="12">
        <v>10775</v>
      </c>
      <c r="K89" s="12">
        <v>46523</v>
      </c>
      <c r="L89" s="14">
        <f t="shared" si="1"/>
        <v>48.8</v>
      </c>
    </row>
    <row r="90" spans="1:12" ht="19.5" x14ac:dyDescent="0.4">
      <c r="A90" s="1">
        <v>89</v>
      </c>
      <c r="B90" s="1" t="s">
        <v>22</v>
      </c>
      <c r="C90" s="1">
        <v>2023</v>
      </c>
      <c r="D90" t="s">
        <v>18</v>
      </c>
      <c r="E90" s="3">
        <v>56869</v>
      </c>
      <c r="F90" s="3">
        <v>3568</v>
      </c>
      <c r="G90" s="13">
        <f>LN(F90/E90)</f>
        <v>-2.7687451624829205</v>
      </c>
      <c r="H90" s="4">
        <v>34.799999999999997</v>
      </c>
      <c r="I90" s="4">
        <f>((160*(1/10)*H90)+H90*(1/20)*874.5)*2</f>
        <v>4156.8599999999997</v>
      </c>
      <c r="J90" s="12">
        <v>4168</v>
      </c>
      <c r="K90" s="12">
        <v>19403</v>
      </c>
      <c r="L90" s="14">
        <f t="shared" si="1"/>
        <v>34.799999999999997</v>
      </c>
    </row>
    <row r="91" spans="1:12" ht="19.5" x14ac:dyDescent="0.4">
      <c r="A91" s="1">
        <v>90</v>
      </c>
      <c r="B91" s="1" t="s">
        <v>22</v>
      </c>
      <c r="C91" s="1">
        <v>2023</v>
      </c>
      <c r="D91" t="s">
        <v>19</v>
      </c>
      <c r="E91" s="3">
        <v>121056</v>
      </c>
      <c r="F91" s="3">
        <v>4280</v>
      </c>
      <c r="G91" s="13">
        <f>LN(F91/E91)</f>
        <v>-3.3423002388569132</v>
      </c>
      <c r="H91" s="4">
        <v>32.200000000000003</v>
      </c>
      <c r="I91" s="4">
        <f>((160*(1/10)*H91)+H91*(1/20)*874.5)*2</f>
        <v>3846.2900000000009</v>
      </c>
      <c r="J91" s="12">
        <v>8520</v>
      </c>
      <c r="K91" s="12">
        <v>38101</v>
      </c>
      <c r="L91" s="14">
        <f t="shared" si="1"/>
        <v>32.200000000000003</v>
      </c>
    </row>
    <row r="92" spans="1:12" ht="19.5" x14ac:dyDescent="0.4">
      <c r="A92" s="5">
        <v>91</v>
      </c>
      <c r="B92" s="5" t="s">
        <v>22</v>
      </c>
      <c r="C92" s="5">
        <v>2023</v>
      </c>
      <c r="D92" s="6" t="s">
        <v>20</v>
      </c>
      <c r="E92" s="7">
        <v>58171</v>
      </c>
      <c r="F92" s="7">
        <v>214</v>
      </c>
      <c r="G92" s="15">
        <f>LN(F92/E92)</f>
        <v>-5.6051662127271129</v>
      </c>
      <c r="H92" s="8">
        <v>57.8</v>
      </c>
      <c r="I92" s="8">
        <f>((160*(1/10)*H92)+H92*(1/20)*874.5)*2</f>
        <v>6904.2100000000009</v>
      </c>
      <c r="J92" s="10">
        <v>3816</v>
      </c>
      <c r="K92" s="10">
        <v>19636</v>
      </c>
      <c r="L92" s="16">
        <f t="shared" si="1"/>
        <v>57.8</v>
      </c>
    </row>
    <row r="93" spans="1:12" ht="19.5" x14ac:dyDescent="0.4">
      <c r="A93" s="1">
        <v>92</v>
      </c>
      <c r="B93" s="1" t="s">
        <v>22</v>
      </c>
      <c r="C93" s="1">
        <v>2024</v>
      </c>
      <c r="D93" t="s">
        <v>8</v>
      </c>
      <c r="E93" s="3">
        <v>248680</v>
      </c>
      <c r="F93" s="3">
        <v>6826</v>
      </c>
      <c r="G93" s="13">
        <f>LN(F93/E93)</f>
        <v>-3.5954280789166213</v>
      </c>
      <c r="H93" s="4">
        <v>24</v>
      </c>
      <c r="I93" s="4">
        <f>((160*(1/10)*H93)+H93*(1/20)*874.5)*2</f>
        <v>2866.8</v>
      </c>
      <c r="J93" s="12">
        <v>15767</v>
      </c>
      <c r="K93" s="12">
        <v>67093</v>
      </c>
      <c r="L93" s="14">
        <f t="shared" si="1"/>
        <v>24</v>
      </c>
    </row>
    <row r="94" spans="1:12" ht="19.5" x14ac:dyDescent="0.4">
      <c r="A94" s="1">
        <v>93</v>
      </c>
      <c r="B94" s="1" t="s">
        <v>22</v>
      </c>
      <c r="C94" s="1">
        <v>2024</v>
      </c>
      <c r="D94" t="s">
        <v>9</v>
      </c>
      <c r="E94" s="3">
        <v>289323</v>
      </c>
      <c r="F94" s="3">
        <v>10598</v>
      </c>
      <c r="G94" s="13">
        <f>LN(F94/E94)</f>
        <v>-3.3068784069981856</v>
      </c>
      <c r="H94" s="4">
        <v>20</v>
      </c>
      <c r="I94" s="4">
        <f>((160*(1/10)*H94)+H94*(1/20)*874.5)*2</f>
        <v>2389</v>
      </c>
      <c r="J94" s="12">
        <v>21442</v>
      </c>
      <c r="K94" s="12">
        <v>81653</v>
      </c>
      <c r="L94" s="14">
        <f t="shared" si="1"/>
        <v>20</v>
      </c>
    </row>
    <row r="95" spans="1:12" ht="19.5" x14ac:dyDescent="0.4">
      <c r="A95" s="1">
        <v>94</v>
      </c>
      <c r="B95" s="1" t="s">
        <v>22</v>
      </c>
      <c r="C95" s="1">
        <v>2024</v>
      </c>
      <c r="D95" t="s">
        <v>10</v>
      </c>
      <c r="E95" s="3">
        <v>265379</v>
      </c>
      <c r="F95" s="3">
        <v>38421</v>
      </c>
      <c r="G95" s="13">
        <f>LN(F95/E95)</f>
        <v>-1.9325548078076709</v>
      </c>
      <c r="H95" s="4">
        <v>18.2</v>
      </c>
      <c r="I95" s="4">
        <f>((160*(1/10)*H95)+H95*(1/20)*874.5)*2</f>
        <v>2173.9900000000002</v>
      </c>
      <c r="J95" s="12">
        <v>19571</v>
      </c>
      <c r="K95" s="12">
        <v>74654</v>
      </c>
      <c r="L95" s="14">
        <f t="shared" si="1"/>
        <v>18.2</v>
      </c>
    </row>
    <row r="96" spans="1:12" ht="19.5" x14ac:dyDescent="0.4">
      <c r="A96" s="1">
        <v>95</v>
      </c>
      <c r="B96" s="1" t="s">
        <v>22</v>
      </c>
      <c r="C96" s="1">
        <v>2024</v>
      </c>
      <c r="D96" t="s">
        <v>11</v>
      </c>
      <c r="E96" s="3">
        <v>211835</v>
      </c>
      <c r="F96" s="3">
        <v>4860</v>
      </c>
      <c r="G96" s="13">
        <f>LN(F96/E96)</f>
        <v>-3.774769231838659</v>
      </c>
      <c r="H96" s="4">
        <v>22.2</v>
      </c>
      <c r="I96" s="4">
        <f>((160*(1/10)*H96)+H96*(1/20)*874.5)*2</f>
        <v>2651.79</v>
      </c>
      <c r="J96" s="12">
        <v>15073</v>
      </c>
      <c r="K96" s="12">
        <v>53700</v>
      </c>
      <c r="L96" s="14">
        <f t="shared" si="1"/>
        <v>22.2</v>
      </c>
    </row>
    <row r="97" spans="1:12" ht="19.5" x14ac:dyDescent="0.4">
      <c r="A97" s="1">
        <v>96</v>
      </c>
      <c r="B97" s="1" t="s">
        <v>22</v>
      </c>
      <c r="C97" s="1">
        <v>2024</v>
      </c>
      <c r="D97" t="s">
        <v>12</v>
      </c>
      <c r="E97" s="3">
        <v>125083</v>
      </c>
      <c r="F97" s="3">
        <v>2347</v>
      </c>
      <c r="G97" s="13">
        <f>LN(F97/E97)</f>
        <v>-3.975839600082951</v>
      </c>
      <c r="H97" s="4">
        <v>28.8</v>
      </c>
      <c r="I97" s="4">
        <f>((160*(1/10)*H97)+H97*(1/20)*874.5)*2</f>
        <v>3440.1600000000003</v>
      </c>
      <c r="J97" s="12">
        <v>7751</v>
      </c>
      <c r="K97" s="12">
        <v>40932</v>
      </c>
      <c r="L97" s="14">
        <f t="shared" si="1"/>
        <v>28.8</v>
      </c>
    </row>
    <row r="98" spans="1:12" ht="19.5" x14ac:dyDescent="0.4">
      <c r="A98" s="1">
        <v>97</v>
      </c>
      <c r="B98" s="1" t="s">
        <v>22</v>
      </c>
      <c r="C98" s="1">
        <v>2024</v>
      </c>
      <c r="D98" t="s">
        <v>13</v>
      </c>
      <c r="E98" s="3">
        <v>225298</v>
      </c>
      <c r="F98" s="3">
        <v>15638</v>
      </c>
      <c r="G98" s="13">
        <f>LN(F98/E98)</f>
        <v>-2.6677201206436569</v>
      </c>
      <c r="H98" s="4">
        <v>26.4</v>
      </c>
      <c r="I98" s="4">
        <f>((160*(1/10)*H98)+H98*(1/20)*874.5)*2</f>
        <v>3153.4800000000005</v>
      </c>
      <c r="J98" s="12">
        <v>15548</v>
      </c>
      <c r="K98" s="12">
        <v>59284</v>
      </c>
      <c r="L98" s="14">
        <f t="shared" si="1"/>
        <v>26.4</v>
      </c>
    </row>
    <row r="99" spans="1:12" ht="19.5" x14ac:dyDescent="0.4">
      <c r="A99" s="1">
        <v>98</v>
      </c>
      <c r="B99" s="1" t="s">
        <v>22</v>
      </c>
      <c r="C99" s="1">
        <v>2024</v>
      </c>
      <c r="D99" t="s">
        <v>14</v>
      </c>
      <c r="E99" s="3">
        <v>225298</v>
      </c>
      <c r="F99" s="3">
        <v>4750</v>
      </c>
      <c r="G99" s="13">
        <f>LN(F99/E99)</f>
        <v>-3.8592793522994291</v>
      </c>
      <c r="H99" s="4">
        <v>42.2</v>
      </c>
      <c r="I99" s="4">
        <f>((160*(1/10)*H99)+H99*(1/20)*874.5)*2</f>
        <v>5040.7900000000009</v>
      </c>
      <c r="J99" s="12">
        <v>8519</v>
      </c>
      <c r="K99" s="12">
        <v>35078</v>
      </c>
      <c r="L99" s="14">
        <f t="shared" si="1"/>
        <v>42.2</v>
      </c>
    </row>
    <row r="100" spans="1:12" ht="19.5" x14ac:dyDescent="0.4">
      <c r="A100" s="1">
        <v>99</v>
      </c>
      <c r="B100" s="1" t="s">
        <v>22</v>
      </c>
      <c r="C100" s="1">
        <v>2024</v>
      </c>
      <c r="D100" t="s">
        <v>15</v>
      </c>
      <c r="E100" s="3">
        <v>135777</v>
      </c>
      <c r="F100" s="3">
        <v>2353</v>
      </c>
      <c r="G100" s="13">
        <f>LN(F100/E100)</f>
        <v>-4.0553227243194501</v>
      </c>
      <c r="H100" s="4">
        <v>38.799999999999997</v>
      </c>
      <c r="I100" s="4">
        <f>((160*(1/10)*H100)+H100*(1/20)*874.5)*2</f>
        <v>4634.66</v>
      </c>
      <c r="J100" s="12">
        <v>8295</v>
      </c>
      <c r="K100" s="12">
        <v>50017</v>
      </c>
      <c r="L100" s="14">
        <f t="shared" si="1"/>
        <v>38.799999999999997</v>
      </c>
    </row>
    <row r="101" spans="1:12" ht="19.5" x14ac:dyDescent="0.4">
      <c r="A101" s="1">
        <v>100</v>
      </c>
      <c r="B101" s="1" t="s">
        <v>22</v>
      </c>
      <c r="C101" s="1">
        <v>2024</v>
      </c>
      <c r="D101" t="s">
        <v>16</v>
      </c>
      <c r="E101" s="3">
        <v>217040</v>
      </c>
      <c r="F101" s="3">
        <v>3875</v>
      </c>
      <c r="G101" s="13">
        <f>LN(F101/E101)</f>
        <v>-4.0255360055453657</v>
      </c>
      <c r="H101" s="4">
        <v>38.4</v>
      </c>
      <c r="I101" s="4">
        <f>((160*(1/10)*H101)+H101*(1/20)*874.5)*2</f>
        <v>4586.88</v>
      </c>
      <c r="J101" s="12">
        <v>16187</v>
      </c>
      <c r="K101" s="12">
        <v>63371</v>
      </c>
      <c r="L101" s="14">
        <f t="shared" si="1"/>
        <v>38.4</v>
      </c>
    </row>
    <row r="102" spans="1:12" ht="19.5" x14ac:dyDescent="0.4">
      <c r="A102" s="1">
        <v>101</v>
      </c>
      <c r="B102" s="1" t="s">
        <v>22</v>
      </c>
      <c r="C102" s="1">
        <v>2024</v>
      </c>
      <c r="D102" t="s">
        <v>17</v>
      </c>
      <c r="E102" s="3">
        <v>142625</v>
      </c>
      <c r="F102" s="3">
        <v>2502</v>
      </c>
      <c r="G102" s="13">
        <f>LN(F102/E102)</f>
        <v>-4.0431283961375204</v>
      </c>
      <c r="H102" s="4">
        <v>48.8</v>
      </c>
      <c r="I102" s="4">
        <f>((160*(1/10)*H102)+H102*(1/20)*874.5)*2</f>
        <v>5829.16</v>
      </c>
      <c r="J102" s="12">
        <v>10775</v>
      </c>
      <c r="K102" s="12">
        <v>46523</v>
      </c>
      <c r="L102" s="14">
        <f t="shared" si="1"/>
        <v>48.8</v>
      </c>
    </row>
    <row r="103" spans="1:12" ht="19.5" x14ac:dyDescent="0.4">
      <c r="A103" s="1">
        <v>102</v>
      </c>
      <c r="B103" s="1" t="s">
        <v>22</v>
      </c>
      <c r="C103" s="1">
        <v>2024</v>
      </c>
      <c r="D103" t="s">
        <v>18</v>
      </c>
      <c r="E103" s="3">
        <v>56869</v>
      </c>
      <c r="F103" s="3">
        <v>1836</v>
      </c>
      <c r="G103" s="13">
        <f>LN(F103/E103)</f>
        <v>-3.4331610850023844</v>
      </c>
      <c r="H103" s="4">
        <v>34.799999999999997</v>
      </c>
      <c r="I103" s="4">
        <f>((160*(1/10)*H103)+H103*(1/20)*874.5)*2</f>
        <v>4156.8599999999997</v>
      </c>
      <c r="J103" s="12">
        <v>4168</v>
      </c>
      <c r="K103" s="12">
        <v>19403</v>
      </c>
      <c r="L103" s="14">
        <f t="shared" si="1"/>
        <v>34.799999999999997</v>
      </c>
    </row>
    <row r="104" spans="1:12" ht="19.5" x14ac:dyDescent="0.4">
      <c r="A104" s="1">
        <v>103</v>
      </c>
      <c r="B104" s="1" t="s">
        <v>22</v>
      </c>
      <c r="C104" s="1">
        <v>2024</v>
      </c>
      <c r="D104" t="s">
        <v>19</v>
      </c>
      <c r="E104" s="3">
        <v>121056</v>
      </c>
      <c r="F104" s="3">
        <v>2462</v>
      </c>
      <c r="G104" s="13">
        <f>LN(F104/E104)</f>
        <v>-3.8952792206883569</v>
      </c>
      <c r="H104" s="4">
        <v>32.200000000000003</v>
      </c>
      <c r="I104" s="4">
        <f>((160*(1/10)*H104)+H104*(1/20)*874.5)*2</f>
        <v>3846.2900000000009</v>
      </c>
      <c r="J104" s="12">
        <v>8520</v>
      </c>
      <c r="K104" s="12">
        <v>38101</v>
      </c>
      <c r="L104" s="14">
        <f t="shared" si="1"/>
        <v>32.200000000000003</v>
      </c>
    </row>
    <row r="105" spans="1:12" ht="19.5" x14ac:dyDescent="0.4">
      <c r="A105" s="5">
        <v>104</v>
      </c>
      <c r="B105" s="5" t="s">
        <v>22</v>
      </c>
      <c r="C105" s="5">
        <v>2024</v>
      </c>
      <c r="D105" s="6" t="s">
        <v>20</v>
      </c>
      <c r="E105" s="7">
        <v>58171</v>
      </c>
      <c r="F105" s="7">
        <v>497</v>
      </c>
      <c r="G105" s="15">
        <f>LN(F105/E105)</f>
        <v>-4.7625522016523352</v>
      </c>
      <c r="H105" s="8">
        <v>57.8</v>
      </c>
      <c r="I105" s="8">
        <f>((160*(1/10)*H105)+H105*(1/20)*874.5)*2</f>
        <v>6904.2100000000009</v>
      </c>
      <c r="J105" s="10">
        <v>3816</v>
      </c>
      <c r="K105" s="10">
        <v>19636</v>
      </c>
      <c r="L105" s="16">
        <f t="shared" si="1"/>
        <v>57.8</v>
      </c>
    </row>
    <row r="106" spans="1:12" ht="19.5" x14ac:dyDescent="0.4">
      <c r="A106" s="1">
        <v>105</v>
      </c>
      <c r="B106" s="1" t="s">
        <v>24</v>
      </c>
      <c r="C106" s="1">
        <v>2018</v>
      </c>
      <c r="D106" t="s">
        <v>8</v>
      </c>
      <c r="E106" s="3">
        <v>248680</v>
      </c>
      <c r="F106" s="3">
        <v>684166</v>
      </c>
      <c r="G106" s="13">
        <f>LN(F106/E106)</f>
        <v>1.0120336488354249</v>
      </c>
      <c r="H106" s="4">
        <v>3</v>
      </c>
      <c r="I106" s="4">
        <f>((160*(1/10)*H106)+H106*(1/20)*874.5)*2</f>
        <v>358.35</v>
      </c>
      <c r="J106" s="12">
        <v>15767</v>
      </c>
      <c r="K106" s="12">
        <v>67093</v>
      </c>
      <c r="L106" s="14">
        <f t="shared" ref="L106:L157" si="2">H106</f>
        <v>3</v>
      </c>
    </row>
    <row r="107" spans="1:12" ht="19.5" x14ac:dyDescent="0.4">
      <c r="A107" s="1">
        <v>106</v>
      </c>
      <c r="B107" s="1" t="s">
        <v>24</v>
      </c>
      <c r="C107" s="1">
        <v>2018</v>
      </c>
      <c r="D107" t="s">
        <v>9</v>
      </c>
      <c r="E107" s="3">
        <v>289323</v>
      </c>
      <c r="F107" s="3">
        <v>340650</v>
      </c>
      <c r="G107" s="13">
        <f>LN(F107/E107)</f>
        <v>0.16331184615092131</v>
      </c>
      <c r="H107" s="4">
        <v>8.1999999999999993</v>
      </c>
      <c r="I107" s="4">
        <f>((160*(1/10)*H107)+H107*(1/20)*874.5)*2</f>
        <v>979.4899999999999</v>
      </c>
      <c r="J107" s="12">
        <v>21442</v>
      </c>
      <c r="K107" s="12">
        <v>81653</v>
      </c>
      <c r="L107" s="14">
        <f t="shared" si="2"/>
        <v>8.1999999999999993</v>
      </c>
    </row>
    <row r="108" spans="1:12" ht="19.5" x14ac:dyDescent="0.4">
      <c r="A108" s="1">
        <v>107</v>
      </c>
      <c r="B108" s="1" t="s">
        <v>24</v>
      </c>
      <c r="C108" s="1">
        <v>2018</v>
      </c>
      <c r="D108" t="s">
        <v>10</v>
      </c>
      <c r="E108" s="3">
        <v>265379</v>
      </c>
      <c r="F108" s="3">
        <v>374247</v>
      </c>
      <c r="G108" s="13">
        <f>LN(F108/E108)</f>
        <v>0.34375701431582983</v>
      </c>
      <c r="H108" s="4">
        <v>5.4</v>
      </c>
      <c r="I108" s="4">
        <f>((160*(1/10)*H108)+H108*(1/20)*874.5)*2</f>
        <v>645.03</v>
      </c>
      <c r="J108" s="12">
        <v>19571</v>
      </c>
      <c r="K108" s="12">
        <v>74654</v>
      </c>
      <c r="L108" s="14">
        <f t="shared" si="2"/>
        <v>5.4</v>
      </c>
    </row>
    <row r="109" spans="1:12" ht="19.5" x14ac:dyDescent="0.4">
      <c r="A109" s="1">
        <v>108</v>
      </c>
      <c r="B109" s="1" t="s">
        <v>24</v>
      </c>
      <c r="C109" s="1">
        <v>2018</v>
      </c>
      <c r="D109" t="s">
        <v>11</v>
      </c>
      <c r="E109" s="3">
        <v>211835</v>
      </c>
      <c r="F109" s="3">
        <v>340631</v>
      </c>
      <c r="G109" s="13">
        <f>LN(F109/E109)</f>
        <v>0.47499211019020932</v>
      </c>
      <c r="H109" s="4">
        <v>8.6</v>
      </c>
      <c r="I109" s="4">
        <f>((160*(1/10)*H109)+H109*(1/20)*874.5)*2</f>
        <v>1027.27</v>
      </c>
      <c r="J109" s="12">
        <v>15073</v>
      </c>
      <c r="K109" s="12">
        <v>53700</v>
      </c>
      <c r="L109" s="14">
        <f t="shared" si="2"/>
        <v>8.6</v>
      </c>
    </row>
    <row r="110" spans="1:12" ht="19.5" x14ac:dyDescent="0.4">
      <c r="A110" s="1">
        <v>109</v>
      </c>
      <c r="B110" s="1" t="s">
        <v>24</v>
      </c>
      <c r="C110" s="1">
        <v>2018</v>
      </c>
      <c r="D110" t="s">
        <v>12</v>
      </c>
      <c r="E110" s="3">
        <v>125083</v>
      </c>
      <c r="F110" s="3">
        <v>160373</v>
      </c>
      <c r="G110" s="13">
        <f>LN(F110/E110)</f>
        <v>0.24852483513457324</v>
      </c>
      <c r="H110" s="4">
        <v>23.4</v>
      </c>
      <c r="I110" s="4">
        <f>((160*(1/10)*H110)+H110*(1/20)*874.5)*2</f>
        <v>2795.13</v>
      </c>
      <c r="J110" s="12">
        <v>7751</v>
      </c>
      <c r="K110" s="12">
        <v>40932</v>
      </c>
      <c r="L110" s="14">
        <f t="shared" si="2"/>
        <v>23.4</v>
      </c>
    </row>
    <row r="111" spans="1:12" ht="19.5" x14ac:dyDescent="0.4">
      <c r="A111" s="1">
        <v>110</v>
      </c>
      <c r="B111" s="1" t="s">
        <v>24</v>
      </c>
      <c r="C111" s="1">
        <v>2018</v>
      </c>
      <c r="D111" t="s">
        <v>13</v>
      </c>
      <c r="E111" s="3">
        <v>225298</v>
      </c>
      <c r="F111" s="3">
        <v>483202</v>
      </c>
      <c r="G111" s="13">
        <f>LN(F111/E111)</f>
        <v>0.76301081533890791</v>
      </c>
      <c r="H111" s="4">
        <v>10.4</v>
      </c>
      <c r="I111" s="4">
        <f>((160*(1/10)*H111)+H111*(1/20)*874.5)*2</f>
        <v>1242.28</v>
      </c>
      <c r="J111" s="12">
        <v>15548</v>
      </c>
      <c r="K111" s="12">
        <v>59284</v>
      </c>
      <c r="L111" s="14">
        <f t="shared" si="2"/>
        <v>10.4</v>
      </c>
    </row>
    <row r="112" spans="1:12" ht="19.5" x14ac:dyDescent="0.4">
      <c r="A112" s="1">
        <v>111</v>
      </c>
      <c r="B112" s="1" t="s">
        <v>24</v>
      </c>
      <c r="C112" s="1">
        <v>2018</v>
      </c>
      <c r="D112" t="s">
        <v>14</v>
      </c>
      <c r="E112" s="3">
        <v>225298</v>
      </c>
      <c r="F112" s="3">
        <v>111679</v>
      </c>
      <c r="G112" s="13">
        <f>LN(F112/E112)</f>
        <v>-0.7017952855267332</v>
      </c>
      <c r="H112" s="4">
        <v>21.8</v>
      </c>
      <c r="I112" s="4">
        <f>((160*(1/10)*H112)+H112*(1/20)*874.5)*2</f>
        <v>2604.0100000000002</v>
      </c>
      <c r="J112" s="12">
        <v>8519</v>
      </c>
      <c r="K112" s="12">
        <v>35078</v>
      </c>
      <c r="L112" s="14">
        <f t="shared" si="2"/>
        <v>21.8</v>
      </c>
    </row>
    <row r="113" spans="1:12" ht="19.5" x14ac:dyDescent="0.4">
      <c r="A113" s="1">
        <v>112</v>
      </c>
      <c r="B113" s="1" t="s">
        <v>24</v>
      </c>
      <c r="C113" s="1">
        <v>2018</v>
      </c>
      <c r="D113" t="s">
        <v>15</v>
      </c>
      <c r="E113" s="3">
        <v>135777</v>
      </c>
      <c r="F113" s="3">
        <v>206408</v>
      </c>
      <c r="G113" s="13">
        <f>LN(F113/E113)</f>
        <v>0.41884095848151731</v>
      </c>
      <c r="H113" s="4">
        <v>17.600000000000001</v>
      </c>
      <c r="I113" s="4">
        <f>((160*(1/10)*H113)+H113*(1/20)*874.5)*2</f>
        <v>2102.3200000000002</v>
      </c>
      <c r="J113" s="12">
        <v>8295</v>
      </c>
      <c r="K113" s="12">
        <v>50017</v>
      </c>
      <c r="L113" s="14">
        <f t="shared" si="2"/>
        <v>17.600000000000001</v>
      </c>
    </row>
    <row r="114" spans="1:12" ht="19.5" x14ac:dyDescent="0.4">
      <c r="A114" s="1">
        <v>113</v>
      </c>
      <c r="B114" s="1" t="s">
        <v>24</v>
      </c>
      <c r="C114" s="1">
        <v>2018</v>
      </c>
      <c r="D114" t="s">
        <v>16</v>
      </c>
      <c r="E114" s="3">
        <v>217040</v>
      </c>
      <c r="F114" s="3">
        <v>320962</v>
      </c>
      <c r="G114" s="13">
        <f>LN(F114/E114)</f>
        <v>0.39124106770956169</v>
      </c>
      <c r="H114" s="4">
        <v>11.4</v>
      </c>
      <c r="I114" s="4">
        <f>((160*(1/10)*H114)+H114*(1/20)*874.5)*2</f>
        <v>1361.73</v>
      </c>
      <c r="J114" s="12">
        <v>16187</v>
      </c>
      <c r="K114" s="12">
        <v>63371</v>
      </c>
      <c r="L114" s="14">
        <f t="shared" si="2"/>
        <v>11.4</v>
      </c>
    </row>
    <row r="115" spans="1:12" ht="19.5" x14ac:dyDescent="0.4">
      <c r="A115" s="1">
        <v>114</v>
      </c>
      <c r="B115" s="1" t="s">
        <v>24</v>
      </c>
      <c r="C115" s="1">
        <v>2018</v>
      </c>
      <c r="D115" t="s">
        <v>17</v>
      </c>
      <c r="E115" s="3">
        <v>142625</v>
      </c>
      <c r="F115" s="3">
        <v>112675</v>
      </c>
      <c r="G115" s="13">
        <f>LN(F115/E115)</f>
        <v>-0.23571123960552778</v>
      </c>
      <c r="H115" s="4">
        <v>25.6</v>
      </c>
      <c r="I115" s="4">
        <f>((160*(1/10)*H115)+H115*(1/20)*874.5)*2</f>
        <v>3057.92</v>
      </c>
      <c r="J115" s="12">
        <v>10775</v>
      </c>
      <c r="K115" s="12">
        <v>46523</v>
      </c>
      <c r="L115" s="14">
        <f t="shared" si="2"/>
        <v>25.6</v>
      </c>
    </row>
    <row r="116" spans="1:12" ht="19.5" x14ac:dyDescent="0.4">
      <c r="A116" s="1">
        <v>115</v>
      </c>
      <c r="B116" s="1" t="s">
        <v>24</v>
      </c>
      <c r="C116" s="1">
        <v>2018</v>
      </c>
      <c r="D116" t="s">
        <v>18</v>
      </c>
      <c r="E116" s="3">
        <v>56869</v>
      </c>
      <c r="F116" s="3">
        <v>37816</v>
      </c>
      <c r="G116" s="13">
        <f>LN(F116/E116)</f>
        <v>-0.40801808370974796</v>
      </c>
      <c r="H116" s="4">
        <v>30.6</v>
      </c>
      <c r="I116" s="4">
        <f>((160*(1/10)*H116)+H116*(1/20)*874.5)*2</f>
        <v>3655.17</v>
      </c>
      <c r="J116" s="12">
        <v>4168</v>
      </c>
      <c r="K116" s="12">
        <v>19403</v>
      </c>
      <c r="L116" s="14">
        <f t="shared" si="2"/>
        <v>30.6</v>
      </c>
    </row>
    <row r="117" spans="1:12" ht="19.5" x14ac:dyDescent="0.4">
      <c r="A117" s="1">
        <v>116</v>
      </c>
      <c r="B117" s="1" t="s">
        <v>24</v>
      </c>
      <c r="C117" s="1">
        <v>2018</v>
      </c>
      <c r="D117" t="s">
        <v>19</v>
      </c>
      <c r="E117" s="3">
        <v>121056</v>
      </c>
      <c r="F117" s="3">
        <v>80560</v>
      </c>
      <c r="G117" s="13">
        <f>LN(F117/E117)</f>
        <v>-0.40725100004031195</v>
      </c>
      <c r="H117" s="4">
        <v>37.200000000000003</v>
      </c>
      <c r="I117" s="4">
        <f>((160*(1/10)*H117)+H117*(1/20)*874.5)*2</f>
        <v>4443.5400000000009</v>
      </c>
      <c r="J117" s="12">
        <v>8520</v>
      </c>
      <c r="K117" s="12">
        <v>38101</v>
      </c>
      <c r="L117" s="14">
        <f t="shared" si="2"/>
        <v>37.200000000000003</v>
      </c>
    </row>
    <row r="118" spans="1:12" ht="19.5" x14ac:dyDescent="0.4">
      <c r="A118" s="5">
        <v>117</v>
      </c>
      <c r="B118" s="5" t="s">
        <v>24</v>
      </c>
      <c r="C118" s="5">
        <v>2018</v>
      </c>
      <c r="D118" s="6" t="s">
        <v>20</v>
      </c>
      <c r="E118" s="7">
        <v>58171</v>
      </c>
      <c r="F118" s="7">
        <v>30280</v>
      </c>
      <c r="G118" s="15">
        <f>LN(F118/E118)</f>
        <v>-0.65289952019757891</v>
      </c>
      <c r="H118" s="8">
        <v>42</v>
      </c>
      <c r="I118" s="8">
        <f>((160*(1/10)*H118)+H118*(1/20)*874.5)*2</f>
        <v>5016.8999999999996</v>
      </c>
      <c r="J118" s="10">
        <v>3816</v>
      </c>
      <c r="K118" s="10">
        <v>19636</v>
      </c>
      <c r="L118" s="16">
        <f t="shared" si="2"/>
        <v>42</v>
      </c>
    </row>
    <row r="119" spans="1:12" ht="19.5" x14ac:dyDescent="0.4">
      <c r="A119" s="1">
        <v>118</v>
      </c>
      <c r="B119" s="1" t="s">
        <v>24</v>
      </c>
      <c r="C119" s="1">
        <v>2019</v>
      </c>
      <c r="D119" t="s">
        <v>8</v>
      </c>
      <c r="E119" s="3">
        <v>248680</v>
      </c>
      <c r="F119" s="3">
        <v>673579</v>
      </c>
      <c r="G119" s="13">
        <f>LN(F119/E119)</f>
        <v>0.99643835726903418</v>
      </c>
      <c r="H119" s="4">
        <v>3</v>
      </c>
      <c r="I119" s="4">
        <f>((160*(1/10)*H119)+H119*(1/20)*874.5)*2</f>
        <v>358.35</v>
      </c>
      <c r="J119" s="12">
        <v>15767</v>
      </c>
      <c r="K119" s="12">
        <v>67093</v>
      </c>
      <c r="L119" s="14">
        <f t="shared" si="2"/>
        <v>3</v>
      </c>
    </row>
    <row r="120" spans="1:12" ht="19.5" x14ac:dyDescent="0.4">
      <c r="A120" s="1">
        <v>119</v>
      </c>
      <c r="B120" s="1" t="s">
        <v>24</v>
      </c>
      <c r="C120" s="1">
        <v>2019</v>
      </c>
      <c r="D120" t="s">
        <v>9</v>
      </c>
      <c r="E120" s="3">
        <v>289323</v>
      </c>
      <c r="F120" s="3">
        <v>355229</v>
      </c>
      <c r="G120" s="13">
        <f>LN(F120/E120)</f>
        <v>0.20521894086070153</v>
      </c>
      <c r="H120" s="4">
        <v>8.1999999999999993</v>
      </c>
      <c r="I120" s="4">
        <f>((160*(1/10)*H120)+H120*(1/20)*874.5)*2</f>
        <v>979.4899999999999</v>
      </c>
      <c r="J120" s="12">
        <v>21442</v>
      </c>
      <c r="K120" s="12">
        <v>81653</v>
      </c>
      <c r="L120" s="14">
        <f t="shared" si="2"/>
        <v>8.1999999999999993</v>
      </c>
    </row>
    <row r="121" spans="1:12" ht="19.5" x14ac:dyDescent="0.4">
      <c r="A121" s="1">
        <v>120</v>
      </c>
      <c r="B121" s="1" t="s">
        <v>24</v>
      </c>
      <c r="C121" s="1">
        <v>2019</v>
      </c>
      <c r="D121" t="s">
        <v>10</v>
      </c>
      <c r="E121" s="3">
        <v>265379</v>
      </c>
      <c r="F121" s="3">
        <v>385655</v>
      </c>
      <c r="G121" s="13">
        <f>LN(F121/E121)</f>
        <v>0.3737841945000635</v>
      </c>
      <c r="H121" s="4">
        <v>5.4</v>
      </c>
      <c r="I121" s="4">
        <f>((160*(1/10)*H121)+H121*(1/20)*874.5)*2</f>
        <v>645.03</v>
      </c>
      <c r="J121" s="12">
        <v>19571</v>
      </c>
      <c r="K121" s="12">
        <v>74654</v>
      </c>
      <c r="L121" s="14">
        <f t="shared" si="2"/>
        <v>5.4</v>
      </c>
    </row>
    <row r="122" spans="1:12" ht="19.5" x14ac:dyDescent="0.4">
      <c r="A122" s="1">
        <v>121</v>
      </c>
      <c r="B122" s="1" t="s">
        <v>24</v>
      </c>
      <c r="C122" s="1">
        <v>2019</v>
      </c>
      <c r="D122" t="s">
        <v>11</v>
      </c>
      <c r="E122" s="3">
        <v>211835</v>
      </c>
      <c r="F122" s="3">
        <v>347346</v>
      </c>
      <c r="G122" s="13">
        <f>LN(F122/E122)</f>
        <v>0.49451373155932193</v>
      </c>
      <c r="H122" s="4">
        <v>8.6</v>
      </c>
      <c r="I122" s="4">
        <f>((160*(1/10)*H122)+H122*(1/20)*874.5)*2</f>
        <v>1027.27</v>
      </c>
      <c r="J122" s="12">
        <v>15073</v>
      </c>
      <c r="K122" s="12">
        <v>53700</v>
      </c>
      <c r="L122" s="14">
        <f t="shared" si="2"/>
        <v>8.6</v>
      </c>
    </row>
    <row r="123" spans="1:12" ht="19.5" x14ac:dyDescent="0.4">
      <c r="A123" s="1">
        <v>122</v>
      </c>
      <c r="B123" s="1" t="s">
        <v>24</v>
      </c>
      <c r="C123" s="1">
        <v>2019</v>
      </c>
      <c r="D123" t="s">
        <v>12</v>
      </c>
      <c r="E123" s="3">
        <v>125083</v>
      </c>
      <c r="F123" s="3">
        <v>154631</v>
      </c>
      <c r="G123" s="13">
        <f>LN(F123/E123)</f>
        <v>0.21206411656496871</v>
      </c>
      <c r="H123" s="4">
        <v>23.4</v>
      </c>
      <c r="I123" s="4">
        <f>((160*(1/10)*H123)+H123*(1/20)*874.5)*2</f>
        <v>2795.13</v>
      </c>
      <c r="J123" s="12">
        <v>7751</v>
      </c>
      <c r="K123" s="12">
        <v>40932</v>
      </c>
      <c r="L123" s="14">
        <f t="shared" si="2"/>
        <v>23.4</v>
      </c>
    </row>
    <row r="124" spans="1:12" ht="19.5" x14ac:dyDescent="0.4">
      <c r="A124" s="1">
        <v>123</v>
      </c>
      <c r="B124" s="1" t="s">
        <v>24</v>
      </c>
      <c r="C124" s="1">
        <v>2019</v>
      </c>
      <c r="D124" t="s">
        <v>13</v>
      </c>
      <c r="E124" s="3">
        <v>225298</v>
      </c>
      <c r="F124" s="3">
        <v>386669</v>
      </c>
      <c r="G124" s="13">
        <f>LN(F124/E124)</f>
        <v>0.54014505955087289</v>
      </c>
      <c r="H124" s="4">
        <v>10.4</v>
      </c>
      <c r="I124" s="4">
        <f>((160*(1/10)*H124)+H124*(1/20)*874.5)*2</f>
        <v>1242.28</v>
      </c>
      <c r="J124" s="12">
        <v>15548</v>
      </c>
      <c r="K124" s="12">
        <v>59284</v>
      </c>
      <c r="L124" s="14">
        <f t="shared" si="2"/>
        <v>10.4</v>
      </c>
    </row>
    <row r="125" spans="1:12" ht="19.5" x14ac:dyDescent="0.4">
      <c r="A125" s="1">
        <v>124</v>
      </c>
      <c r="B125" s="1" t="s">
        <v>24</v>
      </c>
      <c r="C125" s="1">
        <v>2019</v>
      </c>
      <c r="D125" t="s">
        <v>14</v>
      </c>
      <c r="E125" s="3">
        <v>225298</v>
      </c>
      <c r="F125" s="3">
        <v>109363</v>
      </c>
      <c r="G125" s="13">
        <f>LN(F125/E125)</f>
        <v>-0.72275134597296731</v>
      </c>
      <c r="H125" s="4">
        <v>21.8</v>
      </c>
      <c r="I125" s="4">
        <f>((160*(1/10)*H125)+H125*(1/20)*874.5)*2</f>
        <v>2604.0100000000002</v>
      </c>
      <c r="J125" s="12">
        <v>8519</v>
      </c>
      <c r="K125" s="12">
        <v>35078</v>
      </c>
      <c r="L125" s="14">
        <f t="shared" si="2"/>
        <v>21.8</v>
      </c>
    </row>
    <row r="126" spans="1:12" ht="19.5" x14ac:dyDescent="0.4">
      <c r="A126" s="1">
        <v>125</v>
      </c>
      <c r="B126" s="1" t="s">
        <v>24</v>
      </c>
      <c r="C126" s="1">
        <v>2019</v>
      </c>
      <c r="D126" t="s">
        <v>15</v>
      </c>
      <c r="E126" s="3">
        <v>135777</v>
      </c>
      <c r="F126" s="3">
        <v>208513</v>
      </c>
      <c r="G126" s="13">
        <f>LN(F126/E126)</f>
        <v>0.42898755535039679</v>
      </c>
      <c r="H126" s="4">
        <v>17.600000000000001</v>
      </c>
      <c r="I126" s="4">
        <f>((160*(1/10)*H126)+H126*(1/20)*874.5)*2</f>
        <v>2102.3200000000002</v>
      </c>
      <c r="J126" s="12">
        <v>8295</v>
      </c>
      <c r="K126" s="12">
        <v>50017</v>
      </c>
      <c r="L126" s="14">
        <f t="shared" si="2"/>
        <v>17.600000000000001</v>
      </c>
    </row>
    <row r="127" spans="1:12" ht="19.5" x14ac:dyDescent="0.4">
      <c r="A127" s="1">
        <v>126</v>
      </c>
      <c r="B127" s="1" t="s">
        <v>24</v>
      </c>
      <c r="C127" s="1">
        <v>2019</v>
      </c>
      <c r="D127" t="s">
        <v>16</v>
      </c>
      <c r="E127" s="3">
        <v>217040</v>
      </c>
      <c r="F127" s="3">
        <v>322079</v>
      </c>
      <c r="G127" s="13">
        <f>LN(F127/E127)</f>
        <v>0.39471518871730649</v>
      </c>
      <c r="H127" s="4">
        <v>11.4</v>
      </c>
      <c r="I127" s="4">
        <f>((160*(1/10)*H127)+H127*(1/20)*874.5)*2</f>
        <v>1361.73</v>
      </c>
      <c r="J127" s="12">
        <v>16187</v>
      </c>
      <c r="K127" s="12">
        <v>63371</v>
      </c>
      <c r="L127" s="14">
        <f t="shared" si="2"/>
        <v>11.4</v>
      </c>
    </row>
    <row r="128" spans="1:12" ht="19.5" x14ac:dyDescent="0.4">
      <c r="A128" s="1">
        <v>127</v>
      </c>
      <c r="B128" s="1" t="s">
        <v>24</v>
      </c>
      <c r="C128" s="1">
        <v>2019</v>
      </c>
      <c r="D128" t="s">
        <v>17</v>
      </c>
      <c r="E128" s="3">
        <v>142625</v>
      </c>
      <c r="F128" s="3">
        <v>109493</v>
      </c>
      <c r="G128" s="13">
        <f>LN(F128/E128)</f>
        <v>-0.26435818790973747</v>
      </c>
      <c r="H128" s="4">
        <v>25.6</v>
      </c>
      <c r="I128" s="4">
        <f>((160*(1/10)*H128)+H128*(1/20)*874.5)*2</f>
        <v>3057.92</v>
      </c>
      <c r="J128" s="12">
        <v>10775</v>
      </c>
      <c r="K128" s="12">
        <v>46523</v>
      </c>
      <c r="L128" s="14">
        <f t="shared" si="2"/>
        <v>25.6</v>
      </c>
    </row>
    <row r="129" spans="1:12" ht="19.5" x14ac:dyDescent="0.4">
      <c r="A129" s="1">
        <v>128</v>
      </c>
      <c r="B129" s="1" t="s">
        <v>24</v>
      </c>
      <c r="C129" s="1">
        <v>2019</v>
      </c>
      <c r="D129" t="s">
        <v>18</v>
      </c>
      <c r="E129" s="3">
        <v>56869</v>
      </c>
      <c r="F129" s="3">
        <v>48911</v>
      </c>
      <c r="G129" s="13">
        <f>LN(F129/E129)</f>
        <v>-0.15074805714180584</v>
      </c>
      <c r="H129" s="4">
        <v>30.6</v>
      </c>
      <c r="I129" s="4">
        <f>((160*(1/10)*H129)+H129*(1/20)*874.5)*2</f>
        <v>3655.17</v>
      </c>
      <c r="J129" s="12">
        <v>4168</v>
      </c>
      <c r="K129" s="12">
        <v>19403</v>
      </c>
      <c r="L129" s="14">
        <f t="shared" si="2"/>
        <v>30.6</v>
      </c>
    </row>
    <row r="130" spans="1:12" ht="19.5" x14ac:dyDescent="0.4">
      <c r="A130" s="1">
        <v>129</v>
      </c>
      <c r="B130" s="1" t="s">
        <v>24</v>
      </c>
      <c r="C130" s="1">
        <v>2019</v>
      </c>
      <c r="D130" t="s">
        <v>19</v>
      </c>
      <c r="E130" s="3">
        <v>121056</v>
      </c>
      <c r="F130" s="3">
        <v>78560</v>
      </c>
      <c r="G130" s="13">
        <f>LN(F130/E130)</f>
        <v>-0.43239058440440825</v>
      </c>
      <c r="H130" s="4">
        <v>37.200000000000003</v>
      </c>
      <c r="I130" s="4">
        <f>((160*(1/10)*H130)+H130*(1/20)*874.5)*2</f>
        <v>4443.5400000000009</v>
      </c>
      <c r="J130" s="12">
        <v>8520</v>
      </c>
      <c r="K130" s="12">
        <v>38101</v>
      </c>
      <c r="L130" s="14">
        <f t="shared" si="2"/>
        <v>37.200000000000003</v>
      </c>
    </row>
    <row r="131" spans="1:12" ht="19.5" x14ac:dyDescent="0.4">
      <c r="A131" s="5">
        <v>130</v>
      </c>
      <c r="B131" s="5" t="s">
        <v>24</v>
      </c>
      <c r="C131" s="5">
        <v>2019</v>
      </c>
      <c r="D131" s="6" t="s">
        <v>20</v>
      </c>
      <c r="E131" s="7">
        <v>58171</v>
      </c>
      <c r="F131" s="7">
        <v>37053</v>
      </c>
      <c r="G131" s="15">
        <f>LN(F131/E131)</f>
        <v>-0.45103762864283997</v>
      </c>
      <c r="H131" s="8">
        <v>42</v>
      </c>
      <c r="I131" s="8">
        <f>((160*(1/10)*H131)+H131*(1/20)*874.5)*2</f>
        <v>5016.8999999999996</v>
      </c>
      <c r="J131" s="10">
        <v>3816</v>
      </c>
      <c r="K131" s="10">
        <v>19636</v>
      </c>
      <c r="L131" s="16">
        <f t="shared" si="2"/>
        <v>42</v>
      </c>
    </row>
    <row r="132" spans="1:12" ht="19.5" x14ac:dyDescent="0.4">
      <c r="A132" s="1">
        <v>131</v>
      </c>
      <c r="B132" s="1" t="s">
        <v>24</v>
      </c>
      <c r="C132" s="1">
        <v>2023</v>
      </c>
      <c r="D132" t="s">
        <v>8</v>
      </c>
      <c r="E132" s="3">
        <v>248680</v>
      </c>
      <c r="F132" s="3">
        <v>448771</v>
      </c>
      <c r="G132" s="13">
        <f>LN(F132/E132)</f>
        <v>0.59034580596380404</v>
      </c>
      <c r="H132" s="4">
        <v>3</v>
      </c>
      <c r="I132" s="4">
        <f>((160*(1/10)*H132)+H132*(1/20)*874.5)*2</f>
        <v>358.35</v>
      </c>
      <c r="J132" s="12">
        <v>15767</v>
      </c>
      <c r="K132" s="12">
        <v>67093</v>
      </c>
      <c r="L132" s="14">
        <f t="shared" si="2"/>
        <v>3</v>
      </c>
    </row>
    <row r="133" spans="1:12" ht="19.5" x14ac:dyDescent="0.4">
      <c r="A133" s="1">
        <v>132</v>
      </c>
      <c r="B133" s="1" t="s">
        <v>24</v>
      </c>
      <c r="C133" s="1">
        <v>2023</v>
      </c>
      <c r="D133" t="s">
        <v>9</v>
      </c>
      <c r="E133" s="3">
        <v>289323</v>
      </c>
      <c r="F133" s="3">
        <v>233858</v>
      </c>
      <c r="G133" s="13">
        <f>LN(F133/E133)</f>
        <v>-0.21282961751835627</v>
      </c>
      <c r="H133" s="4">
        <v>8.1999999999999993</v>
      </c>
      <c r="I133" s="4">
        <f>((160*(1/10)*H133)+H133*(1/20)*874.5)*2</f>
        <v>979.4899999999999</v>
      </c>
      <c r="J133" s="12">
        <v>21442</v>
      </c>
      <c r="K133" s="12">
        <v>81653</v>
      </c>
      <c r="L133" s="14">
        <f t="shared" si="2"/>
        <v>8.1999999999999993</v>
      </c>
    </row>
    <row r="134" spans="1:12" ht="19.5" x14ac:dyDescent="0.4">
      <c r="A134" s="1">
        <v>133</v>
      </c>
      <c r="B134" s="1" t="s">
        <v>24</v>
      </c>
      <c r="C134" s="1">
        <v>2023</v>
      </c>
      <c r="D134" t="s">
        <v>10</v>
      </c>
      <c r="E134" s="3">
        <v>265379</v>
      </c>
      <c r="F134" s="3">
        <v>321374</v>
      </c>
      <c r="G134" s="13">
        <f>LN(F134/E134)</f>
        <v>0.19144656103178112</v>
      </c>
      <c r="H134" s="4">
        <v>5.4</v>
      </c>
      <c r="I134" s="4">
        <f>((160*(1/10)*H134)+H134*(1/20)*874.5)*2</f>
        <v>645.03</v>
      </c>
      <c r="J134" s="12">
        <v>19571</v>
      </c>
      <c r="K134" s="12">
        <v>74654</v>
      </c>
      <c r="L134" s="14">
        <f t="shared" si="2"/>
        <v>5.4</v>
      </c>
    </row>
    <row r="135" spans="1:12" ht="19.5" x14ac:dyDescent="0.4">
      <c r="A135" s="1">
        <v>134</v>
      </c>
      <c r="B135" s="1" t="s">
        <v>24</v>
      </c>
      <c r="C135" s="1">
        <v>2023</v>
      </c>
      <c r="D135" t="s">
        <v>11</v>
      </c>
      <c r="E135" s="3">
        <v>211835</v>
      </c>
      <c r="F135" s="3">
        <v>280367</v>
      </c>
      <c r="G135" s="13">
        <f>LN(F135/E135)</f>
        <v>0.28029178946778599</v>
      </c>
      <c r="H135" s="4">
        <v>8.6</v>
      </c>
      <c r="I135" s="4">
        <f>((160*(1/10)*H135)+H135*(1/20)*874.5)*2</f>
        <v>1027.27</v>
      </c>
      <c r="J135" s="12">
        <v>15073</v>
      </c>
      <c r="K135" s="12">
        <v>53700</v>
      </c>
      <c r="L135" s="14">
        <f t="shared" si="2"/>
        <v>8.6</v>
      </c>
    </row>
    <row r="136" spans="1:12" ht="19.5" x14ac:dyDescent="0.4">
      <c r="A136" s="1">
        <v>135</v>
      </c>
      <c r="B136" s="1" t="s">
        <v>24</v>
      </c>
      <c r="C136" s="1">
        <v>2023</v>
      </c>
      <c r="D136" t="s">
        <v>12</v>
      </c>
      <c r="E136" s="3">
        <v>125083</v>
      </c>
      <c r="F136" s="3">
        <v>127874</v>
      </c>
      <c r="G136" s="13">
        <f>LN(F136/E136)</f>
        <v>2.2067887152523124E-2</v>
      </c>
      <c r="H136" s="4">
        <v>23.4</v>
      </c>
      <c r="I136" s="4">
        <f>((160*(1/10)*H136)+H136*(1/20)*874.5)*2</f>
        <v>2795.13</v>
      </c>
      <c r="J136" s="12">
        <v>7751</v>
      </c>
      <c r="K136" s="12">
        <v>40932</v>
      </c>
      <c r="L136" s="14">
        <f t="shared" si="2"/>
        <v>23.4</v>
      </c>
    </row>
    <row r="137" spans="1:12" ht="19.5" x14ac:dyDescent="0.4">
      <c r="A137" s="1">
        <v>136</v>
      </c>
      <c r="B137" s="1" t="s">
        <v>24</v>
      </c>
      <c r="C137" s="1">
        <v>2023</v>
      </c>
      <c r="D137" t="s">
        <v>13</v>
      </c>
      <c r="E137" s="3">
        <v>225298</v>
      </c>
      <c r="F137" s="3">
        <v>408130</v>
      </c>
      <c r="G137" s="13">
        <f>LN(F137/E137)</f>
        <v>0.59416178075821702</v>
      </c>
      <c r="H137" s="4">
        <v>10.4</v>
      </c>
      <c r="I137" s="4">
        <f>((160*(1/10)*H137)+H137*(1/20)*874.5)*2</f>
        <v>1242.28</v>
      </c>
      <c r="J137" s="12">
        <v>15548</v>
      </c>
      <c r="K137" s="12">
        <v>59284</v>
      </c>
      <c r="L137" s="14">
        <f t="shared" si="2"/>
        <v>10.4</v>
      </c>
    </row>
    <row r="138" spans="1:12" ht="19.5" x14ac:dyDescent="0.4">
      <c r="A138" s="1">
        <v>137</v>
      </c>
      <c r="B138" s="1" t="s">
        <v>24</v>
      </c>
      <c r="C138" s="1">
        <v>2023</v>
      </c>
      <c r="D138" t="s">
        <v>14</v>
      </c>
      <c r="E138" s="3">
        <v>225298</v>
      </c>
      <c r="F138" s="3">
        <v>86834</v>
      </c>
      <c r="G138" s="13">
        <f>LN(F138/E138)</f>
        <v>-0.95342572030695305</v>
      </c>
      <c r="H138" s="4">
        <v>21.8</v>
      </c>
      <c r="I138" s="4">
        <f>((160*(1/10)*H138)+H138*(1/20)*874.5)*2</f>
        <v>2604.0100000000002</v>
      </c>
      <c r="J138" s="12">
        <v>8519</v>
      </c>
      <c r="K138" s="12">
        <v>35078</v>
      </c>
      <c r="L138" s="14">
        <f t="shared" si="2"/>
        <v>21.8</v>
      </c>
    </row>
    <row r="139" spans="1:12" ht="19.5" x14ac:dyDescent="0.4">
      <c r="A139" s="1">
        <v>138</v>
      </c>
      <c r="B139" s="1" t="s">
        <v>24</v>
      </c>
      <c r="C139" s="1">
        <v>2023</v>
      </c>
      <c r="D139" t="s">
        <v>15</v>
      </c>
      <c r="E139" s="3">
        <v>135777</v>
      </c>
      <c r="F139" s="3">
        <v>157791</v>
      </c>
      <c r="G139" s="13">
        <f>LN(F139/E139)</f>
        <v>0.15025753850005311</v>
      </c>
      <c r="H139" s="4">
        <v>17.600000000000001</v>
      </c>
      <c r="I139" s="4">
        <f>((160*(1/10)*H139)+H139*(1/20)*874.5)*2</f>
        <v>2102.3200000000002</v>
      </c>
      <c r="J139" s="12">
        <v>8295</v>
      </c>
      <c r="K139" s="12">
        <v>50017</v>
      </c>
      <c r="L139" s="14">
        <f t="shared" si="2"/>
        <v>17.600000000000001</v>
      </c>
    </row>
    <row r="140" spans="1:12" ht="19.5" x14ac:dyDescent="0.4">
      <c r="A140" s="1">
        <v>139</v>
      </c>
      <c r="B140" s="1" t="s">
        <v>24</v>
      </c>
      <c r="C140" s="1">
        <v>2023</v>
      </c>
      <c r="D140" t="s">
        <v>16</v>
      </c>
      <c r="E140" s="3">
        <v>217040</v>
      </c>
      <c r="F140" s="3">
        <v>237873</v>
      </c>
      <c r="G140" s="13">
        <f>LN(F140/E140)</f>
        <v>9.1655249453097873E-2</v>
      </c>
      <c r="H140" s="4">
        <v>11.4</v>
      </c>
      <c r="I140" s="4">
        <f>((160*(1/10)*H140)+H140*(1/20)*874.5)*2</f>
        <v>1361.73</v>
      </c>
      <c r="J140" s="12">
        <v>16187</v>
      </c>
      <c r="K140" s="12">
        <v>63371</v>
      </c>
      <c r="L140" s="14">
        <f t="shared" si="2"/>
        <v>11.4</v>
      </c>
    </row>
    <row r="141" spans="1:12" ht="19.5" x14ac:dyDescent="0.4">
      <c r="A141" s="1">
        <v>140</v>
      </c>
      <c r="B141" s="1" t="s">
        <v>24</v>
      </c>
      <c r="C141" s="1">
        <v>2023</v>
      </c>
      <c r="D141" t="s">
        <v>17</v>
      </c>
      <c r="E141" s="3">
        <v>142625</v>
      </c>
      <c r="F141" s="3">
        <v>79119</v>
      </c>
      <c r="G141" s="13">
        <f>LN(F141/E141)</f>
        <v>-0.58926575997697872</v>
      </c>
      <c r="H141" s="4">
        <v>25.6</v>
      </c>
      <c r="I141" s="4">
        <f>((160*(1/10)*H141)+H141*(1/20)*874.5)*2</f>
        <v>3057.92</v>
      </c>
      <c r="J141" s="12">
        <v>10775</v>
      </c>
      <c r="K141" s="12">
        <v>46523</v>
      </c>
      <c r="L141" s="14">
        <f t="shared" si="2"/>
        <v>25.6</v>
      </c>
    </row>
    <row r="142" spans="1:12" ht="19.5" x14ac:dyDescent="0.4">
      <c r="A142" s="1">
        <v>141</v>
      </c>
      <c r="B142" s="1" t="s">
        <v>24</v>
      </c>
      <c r="C142" s="1">
        <v>2023</v>
      </c>
      <c r="D142" t="s">
        <v>18</v>
      </c>
      <c r="E142" s="3">
        <v>56869</v>
      </c>
      <c r="F142" s="3">
        <v>25223</v>
      </c>
      <c r="G142" s="13">
        <f>LN(F142/E142)</f>
        <v>-0.8129941005265453</v>
      </c>
      <c r="H142" s="4">
        <v>30.6</v>
      </c>
      <c r="I142" s="4">
        <f>((160*(1/10)*H142)+H142*(1/20)*874.5)*2</f>
        <v>3655.17</v>
      </c>
      <c r="J142" s="12">
        <v>4168</v>
      </c>
      <c r="K142" s="12">
        <v>19403</v>
      </c>
      <c r="L142" s="14">
        <f t="shared" si="2"/>
        <v>30.6</v>
      </c>
    </row>
    <row r="143" spans="1:12" ht="19.5" x14ac:dyDescent="0.4">
      <c r="A143" s="1">
        <v>142</v>
      </c>
      <c r="B143" s="1" t="s">
        <v>24</v>
      </c>
      <c r="C143" s="1">
        <v>2023</v>
      </c>
      <c r="D143" t="s">
        <v>19</v>
      </c>
      <c r="E143" s="3">
        <v>121056</v>
      </c>
      <c r="F143" s="3">
        <v>40681</v>
      </c>
      <c r="G143" s="13">
        <f>LN(F143/E143)</f>
        <v>-1.0904920954681663</v>
      </c>
      <c r="H143" s="4">
        <v>37.200000000000003</v>
      </c>
      <c r="I143" s="4">
        <f>((160*(1/10)*H143)+H143*(1/20)*874.5)*2</f>
        <v>4443.5400000000009</v>
      </c>
      <c r="J143" s="12">
        <v>8520</v>
      </c>
      <c r="K143" s="12">
        <v>38101</v>
      </c>
      <c r="L143" s="14">
        <f t="shared" si="2"/>
        <v>37.200000000000003</v>
      </c>
    </row>
    <row r="144" spans="1:12" ht="19.5" x14ac:dyDescent="0.4">
      <c r="A144" s="5">
        <v>143</v>
      </c>
      <c r="B144" s="5" t="s">
        <v>24</v>
      </c>
      <c r="C144" s="5">
        <v>2023</v>
      </c>
      <c r="D144" s="6" t="s">
        <v>20</v>
      </c>
      <c r="E144" s="7">
        <v>58171</v>
      </c>
      <c r="F144" s="7">
        <v>19666</v>
      </c>
      <c r="G144" s="15">
        <f>LN(F144/E144)</f>
        <v>-1.0844956924088625</v>
      </c>
      <c r="H144" s="8">
        <v>42</v>
      </c>
      <c r="I144" s="8">
        <f>((160*(1/10)*H144)+H144*(1/20)*874.5)*2</f>
        <v>5016.8999999999996</v>
      </c>
      <c r="J144" s="10">
        <v>3816</v>
      </c>
      <c r="K144" s="10">
        <v>19636</v>
      </c>
      <c r="L144" s="16">
        <f t="shared" si="2"/>
        <v>42</v>
      </c>
    </row>
    <row r="145" spans="1:12" ht="19.5" x14ac:dyDescent="0.4">
      <c r="A145" s="1">
        <v>144</v>
      </c>
      <c r="B145" s="1" t="s">
        <v>24</v>
      </c>
      <c r="C145" s="1">
        <v>2024</v>
      </c>
      <c r="D145" t="s">
        <v>8</v>
      </c>
      <c r="E145" s="3">
        <v>248680</v>
      </c>
      <c r="F145" s="3">
        <v>475961</v>
      </c>
      <c r="G145" s="13">
        <f>LN(F145/E145)</f>
        <v>0.64916898870050088</v>
      </c>
      <c r="H145" s="4">
        <v>3</v>
      </c>
      <c r="I145" s="4">
        <f>((160*(1/10)*H145)+H145*(1/20)*874.5)*2</f>
        <v>358.35</v>
      </c>
      <c r="J145" s="12">
        <v>15767</v>
      </c>
      <c r="K145" s="12">
        <v>67093</v>
      </c>
      <c r="L145" s="14">
        <f t="shared" si="2"/>
        <v>3</v>
      </c>
    </row>
    <row r="146" spans="1:12" ht="19.5" x14ac:dyDescent="0.4">
      <c r="A146" s="1">
        <v>145</v>
      </c>
      <c r="B146" s="1" t="s">
        <v>24</v>
      </c>
      <c r="C146" s="1">
        <v>2024</v>
      </c>
      <c r="D146" t="s">
        <v>9</v>
      </c>
      <c r="E146" s="3">
        <v>289323</v>
      </c>
      <c r="F146" s="3">
        <v>245238</v>
      </c>
      <c r="G146" s="13">
        <f>LN(F146/E146)</f>
        <v>-0.165314543483987</v>
      </c>
      <c r="H146" s="4">
        <v>8.1999999999999993</v>
      </c>
      <c r="I146" s="4">
        <f>((160*(1/10)*H146)+H146*(1/20)*874.5)*2</f>
        <v>979.4899999999999</v>
      </c>
      <c r="J146" s="12">
        <v>21442</v>
      </c>
      <c r="K146" s="12">
        <v>81653</v>
      </c>
      <c r="L146" s="14">
        <f t="shared" si="2"/>
        <v>8.1999999999999993</v>
      </c>
    </row>
    <row r="147" spans="1:12" ht="19.5" x14ac:dyDescent="0.4">
      <c r="A147" s="1">
        <v>146</v>
      </c>
      <c r="B147" s="1" t="s">
        <v>24</v>
      </c>
      <c r="C147" s="1">
        <v>2024</v>
      </c>
      <c r="D147" t="s">
        <v>10</v>
      </c>
      <c r="E147" s="3">
        <v>265379</v>
      </c>
      <c r="F147" s="3">
        <v>354049</v>
      </c>
      <c r="G147" s="13">
        <f>LN(F147/E147)</f>
        <v>0.28827632871425685</v>
      </c>
      <c r="H147" s="4">
        <v>5.4</v>
      </c>
      <c r="I147" s="4">
        <f>((160*(1/10)*H147)+H147*(1/20)*874.5)*2</f>
        <v>645.03</v>
      </c>
      <c r="J147" s="12">
        <v>19571</v>
      </c>
      <c r="K147" s="12">
        <v>74654</v>
      </c>
      <c r="L147" s="14">
        <f t="shared" si="2"/>
        <v>5.4</v>
      </c>
    </row>
    <row r="148" spans="1:12" ht="19.5" x14ac:dyDescent="0.4">
      <c r="A148" s="1">
        <v>147</v>
      </c>
      <c r="B148" s="1" t="s">
        <v>24</v>
      </c>
      <c r="C148" s="1">
        <v>2024</v>
      </c>
      <c r="D148" t="s">
        <v>11</v>
      </c>
      <c r="E148" s="3">
        <v>211835</v>
      </c>
      <c r="F148" s="3">
        <v>258475</v>
      </c>
      <c r="G148" s="13">
        <f>LN(F148/E148)</f>
        <v>0.19899130772169521</v>
      </c>
      <c r="H148" s="4">
        <v>8.6</v>
      </c>
      <c r="I148" s="4">
        <f>((160*(1/10)*H148)+H148*(1/20)*874.5)*2</f>
        <v>1027.27</v>
      </c>
      <c r="J148" s="12">
        <v>15073</v>
      </c>
      <c r="K148" s="12">
        <v>53700</v>
      </c>
      <c r="L148" s="14">
        <f t="shared" si="2"/>
        <v>8.6</v>
      </c>
    </row>
    <row r="149" spans="1:12" ht="19.5" x14ac:dyDescent="0.4">
      <c r="A149" s="1">
        <v>148</v>
      </c>
      <c r="B149" s="1" t="s">
        <v>24</v>
      </c>
      <c r="C149" s="1">
        <v>2024</v>
      </c>
      <c r="D149" t="s">
        <v>12</v>
      </c>
      <c r="E149" s="3">
        <v>125083</v>
      </c>
      <c r="F149" s="3">
        <v>119788</v>
      </c>
      <c r="G149" s="13">
        <f>LN(F149/E149)</f>
        <v>-4.3254003232440177E-2</v>
      </c>
      <c r="H149" s="4">
        <v>23.4</v>
      </c>
      <c r="I149" s="4">
        <f>((160*(1/10)*H149)+H149*(1/20)*874.5)*2</f>
        <v>2795.13</v>
      </c>
      <c r="J149" s="12">
        <v>7751</v>
      </c>
      <c r="K149" s="12">
        <v>40932</v>
      </c>
      <c r="L149" s="14">
        <f t="shared" si="2"/>
        <v>23.4</v>
      </c>
    </row>
    <row r="150" spans="1:12" ht="19.5" x14ac:dyDescent="0.4">
      <c r="A150" s="1">
        <v>149</v>
      </c>
      <c r="B150" s="1" t="s">
        <v>24</v>
      </c>
      <c r="C150" s="1">
        <v>2024</v>
      </c>
      <c r="D150" t="s">
        <v>13</v>
      </c>
      <c r="E150" s="3">
        <v>225298</v>
      </c>
      <c r="F150" s="3">
        <v>433914</v>
      </c>
      <c r="G150" s="13">
        <f>LN(F150/E150)</f>
        <v>0.65542238743676884</v>
      </c>
      <c r="H150" s="4">
        <v>10.4</v>
      </c>
      <c r="I150" s="4">
        <f>((160*(1/10)*H150)+H150*(1/20)*874.5)*2</f>
        <v>1242.28</v>
      </c>
      <c r="J150" s="12">
        <v>15548</v>
      </c>
      <c r="K150" s="12">
        <v>59284</v>
      </c>
      <c r="L150" s="14">
        <f t="shared" si="2"/>
        <v>10.4</v>
      </c>
    </row>
    <row r="151" spans="1:12" ht="19.5" x14ac:dyDescent="0.4">
      <c r="A151" s="1">
        <v>150</v>
      </c>
      <c r="B151" s="1" t="s">
        <v>24</v>
      </c>
      <c r="C151" s="1">
        <v>2024</v>
      </c>
      <c r="D151" t="s">
        <v>14</v>
      </c>
      <c r="E151" s="3">
        <v>225298</v>
      </c>
      <c r="F151" s="3">
        <v>85770</v>
      </c>
      <c r="G151" s="13">
        <f>LN(F151/E151)</f>
        <v>-0.96575467534364889</v>
      </c>
      <c r="H151" s="4">
        <v>21.8</v>
      </c>
      <c r="I151" s="4">
        <f>((160*(1/10)*H151)+H151*(1/20)*874.5)*2</f>
        <v>2604.0100000000002</v>
      </c>
      <c r="J151" s="12">
        <v>8519</v>
      </c>
      <c r="K151" s="12">
        <v>35078</v>
      </c>
      <c r="L151" s="14">
        <f t="shared" si="2"/>
        <v>21.8</v>
      </c>
    </row>
    <row r="152" spans="1:12" ht="19.5" x14ac:dyDescent="0.4">
      <c r="A152" s="1">
        <v>151</v>
      </c>
      <c r="B152" s="1" t="s">
        <v>24</v>
      </c>
      <c r="C152" s="1">
        <v>2024</v>
      </c>
      <c r="D152" t="s">
        <v>15</v>
      </c>
      <c r="E152" s="3">
        <v>135777</v>
      </c>
      <c r="F152" s="3">
        <v>139294</v>
      </c>
      <c r="G152" s="13">
        <f>LN(F152/E152)</f>
        <v>2.5572973288053476E-2</v>
      </c>
      <c r="H152" s="4">
        <v>17.600000000000001</v>
      </c>
      <c r="I152" s="4">
        <f>((160*(1/10)*H152)+H152*(1/20)*874.5)*2</f>
        <v>2102.3200000000002</v>
      </c>
      <c r="J152" s="12">
        <v>8295</v>
      </c>
      <c r="K152" s="12">
        <v>50017</v>
      </c>
      <c r="L152" s="14">
        <f t="shared" si="2"/>
        <v>17.600000000000001</v>
      </c>
    </row>
    <row r="153" spans="1:12" ht="19.5" x14ac:dyDescent="0.4">
      <c r="A153" s="1">
        <v>152</v>
      </c>
      <c r="B153" s="1" t="s">
        <v>24</v>
      </c>
      <c r="C153" s="1">
        <v>2024</v>
      </c>
      <c r="D153" t="s">
        <v>16</v>
      </c>
      <c r="E153" s="3">
        <v>217040</v>
      </c>
      <c r="F153" s="3">
        <v>236534</v>
      </c>
      <c r="G153" s="13">
        <f>LN(F153/E153)</f>
        <v>8.6010292461901589E-2</v>
      </c>
      <c r="H153" s="4">
        <v>11.4</v>
      </c>
      <c r="I153" s="4">
        <f>((160*(1/10)*H153)+H153*(1/20)*874.5)*2</f>
        <v>1361.73</v>
      </c>
      <c r="J153" s="12">
        <v>16187</v>
      </c>
      <c r="K153" s="12">
        <v>63371</v>
      </c>
      <c r="L153" s="14">
        <f t="shared" si="2"/>
        <v>11.4</v>
      </c>
    </row>
    <row r="154" spans="1:12" ht="19.5" x14ac:dyDescent="0.4">
      <c r="A154" s="1">
        <v>153</v>
      </c>
      <c r="B154" s="1" t="s">
        <v>24</v>
      </c>
      <c r="C154" s="1">
        <v>2024</v>
      </c>
      <c r="D154" t="s">
        <v>17</v>
      </c>
      <c r="E154" s="3">
        <v>142625</v>
      </c>
      <c r="F154" s="3">
        <v>76510</v>
      </c>
      <c r="G154" s="13">
        <f>LN(F154/E154)</f>
        <v>-0.62279735693847926</v>
      </c>
      <c r="H154" s="4">
        <v>25.6</v>
      </c>
      <c r="I154" s="4">
        <f>((160*(1/10)*H154)+H154*(1/20)*874.5)*2</f>
        <v>3057.92</v>
      </c>
      <c r="J154" s="12">
        <v>10775</v>
      </c>
      <c r="K154" s="12">
        <v>46523</v>
      </c>
      <c r="L154" s="14">
        <f t="shared" si="2"/>
        <v>25.6</v>
      </c>
    </row>
    <row r="155" spans="1:12" ht="19.5" x14ac:dyDescent="0.4">
      <c r="A155" s="1">
        <v>154</v>
      </c>
      <c r="B155" s="1" t="s">
        <v>24</v>
      </c>
      <c r="C155" s="1">
        <v>2024</v>
      </c>
      <c r="D155" t="s">
        <v>18</v>
      </c>
      <c r="E155" s="3">
        <v>56869</v>
      </c>
      <c r="F155" s="3">
        <v>23584</v>
      </c>
      <c r="G155" s="13">
        <f>LN(F155/E155)</f>
        <v>-0.88018186119375708</v>
      </c>
      <c r="H155" s="4">
        <v>30.6</v>
      </c>
      <c r="I155" s="4">
        <f>((160*(1/10)*H155)+H155*(1/20)*874.5)*2</f>
        <v>3655.17</v>
      </c>
      <c r="J155" s="12">
        <v>4168</v>
      </c>
      <c r="K155" s="12">
        <v>19403</v>
      </c>
      <c r="L155" s="14">
        <f t="shared" si="2"/>
        <v>30.6</v>
      </c>
    </row>
    <row r="156" spans="1:12" ht="19.5" x14ac:dyDescent="0.4">
      <c r="A156" s="1">
        <v>155</v>
      </c>
      <c r="B156" s="1" t="s">
        <v>24</v>
      </c>
      <c r="C156" s="1">
        <v>2024</v>
      </c>
      <c r="D156" t="s">
        <v>19</v>
      </c>
      <c r="E156" s="3">
        <v>121056</v>
      </c>
      <c r="F156" s="3">
        <v>50136</v>
      </c>
      <c r="G156" s="13">
        <f>LN(F156/E156)</f>
        <v>-0.88151393552824431</v>
      </c>
      <c r="H156" s="4">
        <v>37.200000000000003</v>
      </c>
      <c r="I156" s="4">
        <f>((160*(1/10)*H156)+H156*(1/20)*874.5)*2</f>
        <v>4443.5400000000009</v>
      </c>
      <c r="J156" s="12">
        <v>8520</v>
      </c>
      <c r="K156" s="12">
        <v>38101</v>
      </c>
      <c r="L156" s="14">
        <f t="shared" si="2"/>
        <v>37.200000000000003</v>
      </c>
    </row>
    <row r="157" spans="1:12" ht="19.5" x14ac:dyDescent="0.4">
      <c r="A157" s="5">
        <v>156</v>
      </c>
      <c r="B157" s="5" t="s">
        <v>24</v>
      </c>
      <c r="C157" s="5">
        <v>2024</v>
      </c>
      <c r="D157" s="6" t="s">
        <v>20</v>
      </c>
      <c r="E157" s="7">
        <v>58171</v>
      </c>
      <c r="F157" s="7">
        <v>23079</v>
      </c>
      <c r="G157" s="15">
        <f>LN(F157/E157)</f>
        <v>-0.92446383562191969</v>
      </c>
      <c r="H157" s="8">
        <v>42</v>
      </c>
      <c r="I157" s="8">
        <f>((160*(1/10)*H157)+H157*(1/20)*874.5)*2</f>
        <v>5016.8999999999996</v>
      </c>
      <c r="J157" s="10">
        <v>3816</v>
      </c>
      <c r="K157" s="10">
        <v>19636</v>
      </c>
      <c r="L157" s="16">
        <f t="shared" si="2"/>
        <v>42</v>
      </c>
    </row>
    <row r="158" spans="1:12" ht="19.5" x14ac:dyDescent="0.4">
      <c r="A158" s="1">
        <v>157</v>
      </c>
      <c r="B158" s="1" t="s">
        <v>25</v>
      </c>
      <c r="C158" s="1">
        <v>2018</v>
      </c>
      <c r="D158" t="s">
        <v>8</v>
      </c>
      <c r="E158" s="3">
        <v>248680</v>
      </c>
      <c r="F158" s="3">
        <v>5374</v>
      </c>
      <c r="G158" s="13">
        <f>LN(F158/E158)</f>
        <v>-3.8345944192078374</v>
      </c>
      <c r="H158" s="4">
        <v>41.4</v>
      </c>
      <c r="I158" s="4">
        <f>((160*(1/10)*H158)+H158*(1/20)*874.5)*2</f>
        <v>4945.2299999999996</v>
      </c>
      <c r="J158" s="12">
        <v>15767</v>
      </c>
      <c r="K158" s="12">
        <v>67093</v>
      </c>
      <c r="L158" s="14">
        <f t="shared" ref="L158:L221" si="3">H158</f>
        <v>41.4</v>
      </c>
    </row>
    <row r="159" spans="1:12" ht="19.5" x14ac:dyDescent="0.4">
      <c r="A159" s="1">
        <v>158</v>
      </c>
      <c r="B159" s="1" t="s">
        <v>25</v>
      </c>
      <c r="C159" s="1">
        <v>2018</v>
      </c>
      <c r="D159" t="s">
        <v>9</v>
      </c>
      <c r="E159" s="3">
        <v>289323</v>
      </c>
      <c r="F159" s="3">
        <v>6867</v>
      </c>
      <c r="G159" s="13">
        <f>LN(F159/E159)</f>
        <v>-3.7408163814302164</v>
      </c>
      <c r="H159" s="4">
        <v>51.4</v>
      </c>
      <c r="I159" s="4">
        <f>((160*(1/10)*H159)+H159*(1/20)*874.5)*2</f>
        <v>6139.7300000000005</v>
      </c>
      <c r="J159" s="12">
        <v>21442</v>
      </c>
      <c r="K159" s="12">
        <v>81653</v>
      </c>
      <c r="L159" s="14">
        <f t="shared" si="3"/>
        <v>51.4</v>
      </c>
    </row>
    <row r="160" spans="1:12" ht="19.5" x14ac:dyDescent="0.4">
      <c r="A160" s="1">
        <v>159</v>
      </c>
      <c r="B160" s="1" t="s">
        <v>25</v>
      </c>
      <c r="C160" s="1">
        <v>2018</v>
      </c>
      <c r="D160" t="s">
        <v>10</v>
      </c>
      <c r="E160" s="3">
        <v>265379</v>
      </c>
      <c r="F160" s="3">
        <v>12266</v>
      </c>
      <c r="G160" s="13">
        <f>LN(F160/E160)</f>
        <v>-3.0743277857159232</v>
      </c>
      <c r="H160" s="4">
        <v>47.2</v>
      </c>
      <c r="I160" s="4">
        <f>((160*(1/10)*H160)+H160*(1/20)*874.5)*2</f>
        <v>5638.0400000000009</v>
      </c>
      <c r="J160" s="12">
        <v>19571</v>
      </c>
      <c r="K160" s="12">
        <v>74654</v>
      </c>
      <c r="L160" s="14">
        <f t="shared" si="3"/>
        <v>47.2</v>
      </c>
    </row>
    <row r="161" spans="1:12" ht="19.5" x14ac:dyDescent="0.4">
      <c r="A161" s="1">
        <v>160</v>
      </c>
      <c r="B161" s="1" t="s">
        <v>25</v>
      </c>
      <c r="C161" s="1">
        <v>2018</v>
      </c>
      <c r="D161" t="s">
        <v>11</v>
      </c>
      <c r="E161" s="3">
        <v>211835</v>
      </c>
      <c r="F161" s="3">
        <v>7403</v>
      </c>
      <c r="G161" s="13">
        <f>LN(F161/E161)</f>
        <v>-3.3539223462901004</v>
      </c>
      <c r="H161" s="4">
        <v>40</v>
      </c>
      <c r="I161" s="4">
        <f>((160*(1/10)*H161)+H161*(1/20)*874.5)*2</f>
        <v>4778</v>
      </c>
      <c r="J161" s="12">
        <v>15073</v>
      </c>
      <c r="K161" s="12">
        <v>53700</v>
      </c>
      <c r="L161" s="14">
        <f t="shared" si="3"/>
        <v>40</v>
      </c>
    </row>
    <row r="162" spans="1:12" ht="19.5" x14ac:dyDescent="0.4">
      <c r="A162" s="1">
        <v>161</v>
      </c>
      <c r="B162" s="1" t="s">
        <v>25</v>
      </c>
      <c r="C162" s="1">
        <v>2018</v>
      </c>
      <c r="D162" t="s">
        <v>12</v>
      </c>
      <c r="E162" s="3">
        <v>125083</v>
      </c>
      <c r="F162" s="3">
        <v>6137</v>
      </c>
      <c r="G162" s="13">
        <f>LN(F162/E162)</f>
        <v>-3.0146414935448775</v>
      </c>
      <c r="H162" s="4">
        <v>46.8</v>
      </c>
      <c r="I162" s="4">
        <f>((160*(1/10)*H162)+H162*(1/20)*874.5)*2</f>
        <v>5590.26</v>
      </c>
      <c r="J162" s="12">
        <v>7751</v>
      </c>
      <c r="K162" s="12">
        <v>40932</v>
      </c>
      <c r="L162" s="14">
        <f t="shared" si="3"/>
        <v>46.8</v>
      </c>
    </row>
    <row r="163" spans="1:12" ht="19.5" x14ac:dyDescent="0.4">
      <c r="A163" s="1">
        <v>162</v>
      </c>
      <c r="B163" s="1" t="s">
        <v>25</v>
      </c>
      <c r="C163" s="1">
        <v>2018</v>
      </c>
      <c r="D163" t="s">
        <v>13</v>
      </c>
      <c r="E163" s="3">
        <v>225298</v>
      </c>
      <c r="F163" s="3">
        <v>10392</v>
      </c>
      <c r="G163" s="13">
        <f>LN(F163/E163)</f>
        <v>-3.0763876909776808</v>
      </c>
      <c r="H163" s="4">
        <v>36</v>
      </c>
      <c r="I163" s="4">
        <f>((160*(1/10)*H163)+H163*(1/20)*874.5)*2</f>
        <v>4300.2000000000007</v>
      </c>
      <c r="J163" s="12">
        <v>15548</v>
      </c>
      <c r="K163" s="12">
        <v>59284</v>
      </c>
      <c r="L163" s="14">
        <f t="shared" si="3"/>
        <v>36</v>
      </c>
    </row>
    <row r="164" spans="1:12" ht="19.5" x14ac:dyDescent="0.4">
      <c r="A164" s="1">
        <v>163</v>
      </c>
      <c r="B164" s="1" t="s">
        <v>25</v>
      </c>
      <c r="C164" s="1">
        <v>2018</v>
      </c>
      <c r="D164" t="s">
        <v>14</v>
      </c>
      <c r="E164" s="3">
        <v>225298</v>
      </c>
      <c r="F164" s="3">
        <v>15954</v>
      </c>
      <c r="G164" s="13">
        <f>LN(F164/E164)</f>
        <v>-2.6477143888570414</v>
      </c>
      <c r="H164" s="4">
        <v>36.6</v>
      </c>
      <c r="I164" s="4">
        <f>((160*(1/10)*H164)+H164*(1/20)*874.5)*2</f>
        <v>4371.87</v>
      </c>
      <c r="J164" s="12">
        <v>8519</v>
      </c>
      <c r="K164" s="12">
        <v>35078</v>
      </c>
      <c r="L164" s="14">
        <f t="shared" si="3"/>
        <v>36.6</v>
      </c>
    </row>
    <row r="165" spans="1:12" ht="19.5" x14ac:dyDescent="0.4">
      <c r="A165" s="1">
        <v>164</v>
      </c>
      <c r="B165" s="1" t="s">
        <v>25</v>
      </c>
      <c r="C165" s="1">
        <v>2018</v>
      </c>
      <c r="D165" t="s">
        <v>15</v>
      </c>
      <c r="E165" s="3">
        <v>135777</v>
      </c>
      <c r="F165" s="3">
        <v>22383</v>
      </c>
      <c r="G165" s="13">
        <f>LN(F165/E165)</f>
        <v>-1.8027120919071884</v>
      </c>
      <c r="H165" s="4">
        <v>26.6</v>
      </c>
      <c r="I165" s="4">
        <f>((160*(1/10)*H165)+H165*(1/20)*874.5)*2</f>
        <v>3177.37</v>
      </c>
      <c r="J165" s="12">
        <v>8295</v>
      </c>
      <c r="K165" s="12">
        <v>50017</v>
      </c>
      <c r="L165" s="14">
        <f t="shared" si="3"/>
        <v>26.6</v>
      </c>
    </row>
    <row r="166" spans="1:12" ht="19.5" x14ac:dyDescent="0.4">
      <c r="A166" s="1">
        <v>165</v>
      </c>
      <c r="B166" s="1" t="s">
        <v>25</v>
      </c>
      <c r="C166" s="1">
        <v>2018</v>
      </c>
      <c r="D166" t="s">
        <v>16</v>
      </c>
      <c r="E166" s="3">
        <v>217040</v>
      </c>
      <c r="F166" s="3">
        <v>8733</v>
      </c>
      <c r="G166" s="13">
        <f>LN(F166/E166)</f>
        <v>-3.2129727149190805</v>
      </c>
      <c r="H166" s="4">
        <v>48.4</v>
      </c>
      <c r="I166" s="4">
        <f>((160*(1/10)*H166)+H166*(1/20)*874.5)*2</f>
        <v>5781.38</v>
      </c>
      <c r="J166" s="12">
        <v>16187</v>
      </c>
      <c r="K166" s="12">
        <v>63371</v>
      </c>
      <c r="L166" s="14">
        <f t="shared" si="3"/>
        <v>48.4</v>
      </c>
    </row>
    <row r="167" spans="1:12" ht="19.5" x14ac:dyDescent="0.4">
      <c r="A167" s="1">
        <v>166</v>
      </c>
      <c r="B167" s="1" t="s">
        <v>25</v>
      </c>
      <c r="C167" s="1">
        <v>2018</v>
      </c>
      <c r="D167" t="s">
        <v>17</v>
      </c>
      <c r="E167" s="3">
        <v>142625</v>
      </c>
      <c r="F167" s="3">
        <v>2903</v>
      </c>
      <c r="G167" s="13">
        <f>LN(F167/E167)</f>
        <v>-3.8944741231397466</v>
      </c>
      <c r="H167" s="4">
        <v>66.8</v>
      </c>
      <c r="I167" s="4">
        <f>((160*(1/10)*H167)+H167*(1/20)*874.5)*2</f>
        <v>7979.26</v>
      </c>
      <c r="J167" s="12">
        <v>10775</v>
      </c>
      <c r="K167" s="12">
        <v>46523</v>
      </c>
      <c r="L167" s="14">
        <f t="shared" si="3"/>
        <v>66.8</v>
      </c>
    </row>
    <row r="168" spans="1:12" ht="19.5" x14ac:dyDescent="0.4">
      <c r="A168" s="1">
        <v>167</v>
      </c>
      <c r="B168" s="1" t="s">
        <v>25</v>
      </c>
      <c r="C168" s="1">
        <v>2018</v>
      </c>
      <c r="D168" t="s">
        <v>18</v>
      </c>
      <c r="E168" s="3">
        <v>56869</v>
      </c>
      <c r="F168" s="3">
        <v>860</v>
      </c>
      <c r="G168" s="13">
        <f>LN(F168/E168)</f>
        <v>-4.1915732669352668</v>
      </c>
      <c r="H168" s="4">
        <v>73.8</v>
      </c>
      <c r="I168" s="4">
        <f>((160*(1/10)*H168)+H168*(1/20)*874.5)*2</f>
        <v>8815.41</v>
      </c>
      <c r="J168" s="12">
        <v>4168</v>
      </c>
      <c r="K168" s="12">
        <v>19403</v>
      </c>
      <c r="L168" s="14">
        <f t="shared" si="3"/>
        <v>73.8</v>
      </c>
    </row>
    <row r="169" spans="1:12" ht="19.5" x14ac:dyDescent="0.4">
      <c r="A169" s="1">
        <v>168</v>
      </c>
      <c r="B169" s="1" t="s">
        <v>25</v>
      </c>
      <c r="C169" s="1">
        <v>2018</v>
      </c>
      <c r="D169" t="s">
        <v>19</v>
      </c>
      <c r="E169" s="3">
        <v>121056</v>
      </c>
      <c r="F169" s="3">
        <v>2186</v>
      </c>
      <c r="G169" s="13">
        <f>LN(F169/E169)</f>
        <v>-4.0141798586962718</v>
      </c>
      <c r="H169" s="4">
        <v>68.8</v>
      </c>
      <c r="I169" s="4">
        <f>((160*(1/10)*H169)+H169*(1/20)*874.5)*2</f>
        <v>8218.16</v>
      </c>
      <c r="J169" s="12">
        <v>8520</v>
      </c>
      <c r="K169" s="12">
        <v>38101</v>
      </c>
      <c r="L169" s="14">
        <f t="shared" si="3"/>
        <v>68.8</v>
      </c>
    </row>
    <row r="170" spans="1:12" ht="19.5" x14ac:dyDescent="0.4">
      <c r="A170" s="5">
        <v>169</v>
      </c>
      <c r="B170" s="5" t="s">
        <v>25</v>
      </c>
      <c r="C170" s="5">
        <v>2018</v>
      </c>
      <c r="D170" s="6" t="s">
        <v>20</v>
      </c>
      <c r="E170" s="7">
        <v>58171</v>
      </c>
      <c r="F170" s="7">
        <v>3095</v>
      </c>
      <c r="G170" s="15">
        <f>LN(F170/E170)</f>
        <v>-2.9335990426302674</v>
      </c>
      <c r="H170" s="8">
        <v>57.4</v>
      </c>
      <c r="I170" s="8">
        <f>((160*(1/10)*H170)+H170*(1/20)*874.5)*2</f>
        <v>6856.43</v>
      </c>
      <c r="J170" s="10">
        <v>3816</v>
      </c>
      <c r="K170" s="10">
        <v>19636</v>
      </c>
      <c r="L170" s="16">
        <f t="shared" si="3"/>
        <v>57.4</v>
      </c>
    </row>
    <row r="171" spans="1:12" ht="19.5" x14ac:dyDescent="0.4">
      <c r="A171" s="1">
        <v>170</v>
      </c>
      <c r="B171" s="1" t="s">
        <v>25</v>
      </c>
      <c r="C171" s="1">
        <v>2019</v>
      </c>
      <c r="D171" t="s">
        <v>8</v>
      </c>
      <c r="E171" s="3">
        <v>248680</v>
      </c>
      <c r="F171" s="3">
        <v>5397</v>
      </c>
      <c r="G171" s="13">
        <f>LN(F171/E171)</f>
        <v>-3.8303236857646312</v>
      </c>
      <c r="H171" s="4">
        <v>41.4</v>
      </c>
      <c r="I171" s="4">
        <f>((160*(1/10)*H171)+H171*(1/20)*874.5)*2</f>
        <v>4945.2299999999996</v>
      </c>
      <c r="J171" s="12">
        <v>15767</v>
      </c>
      <c r="K171" s="12">
        <v>67093</v>
      </c>
      <c r="L171" s="14">
        <f t="shared" si="3"/>
        <v>41.4</v>
      </c>
    </row>
    <row r="172" spans="1:12" ht="19.5" x14ac:dyDescent="0.4">
      <c r="A172" s="1">
        <v>171</v>
      </c>
      <c r="B172" s="1" t="s">
        <v>25</v>
      </c>
      <c r="C172" s="1">
        <v>2019</v>
      </c>
      <c r="D172" t="s">
        <v>9</v>
      </c>
      <c r="E172" s="3">
        <v>289323</v>
      </c>
      <c r="F172" s="3">
        <v>4268</v>
      </c>
      <c r="G172" s="13">
        <f>LN(F172/E172)</f>
        <v>-4.2163983776292486</v>
      </c>
      <c r="H172" s="4">
        <v>51.4</v>
      </c>
      <c r="I172" s="4">
        <f>((160*(1/10)*H172)+H172*(1/20)*874.5)*2</f>
        <v>6139.7300000000005</v>
      </c>
      <c r="J172" s="12">
        <v>21442</v>
      </c>
      <c r="K172" s="12">
        <v>81653</v>
      </c>
      <c r="L172" s="14">
        <f t="shared" si="3"/>
        <v>51.4</v>
      </c>
    </row>
    <row r="173" spans="1:12" ht="19.5" x14ac:dyDescent="0.4">
      <c r="A173" s="1">
        <v>172</v>
      </c>
      <c r="B173" s="1" t="s">
        <v>25</v>
      </c>
      <c r="C173" s="1">
        <v>2019</v>
      </c>
      <c r="D173" t="s">
        <v>10</v>
      </c>
      <c r="E173" s="3">
        <v>265379</v>
      </c>
      <c r="F173" s="3">
        <v>5604</v>
      </c>
      <c r="G173" s="13">
        <f>LN(F173/E173)</f>
        <v>-3.8576783644449546</v>
      </c>
      <c r="H173" s="4">
        <v>47.2</v>
      </c>
      <c r="I173" s="4">
        <f>((160*(1/10)*H173)+H173*(1/20)*874.5)*2</f>
        <v>5638.0400000000009</v>
      </c>
      <c r="J173" s="12">
        <v>19571</v>
      </c>
      <c r="K173" s="12">
        <v>74654</v>
      </c>
      <c r="L173" s="14">
        <f t="shared" si="3"/>
        <v>47.2</v>
      </c>
    </row>
    <row r="174" spans="1:12" ht="19.5" x14ac:dyDescent="0.4">
      <c r="A174" s="1">
        <v>173</v>
      </c>
      <c r="B174" s="1" t="s">
        <v>25</v>
      </c>
      <c r="C174" s="1">
        <v>2019</v>
      </c>
      <c r="D174" t="s">
        <v>11</v>
      </c>
      <c r="E174" s="3">
        <v>211835</v>
      </c>
      <c r="F174" s="3">
        <v>4646</v>
      </c>
      <c r="G174" s="13">
        <f>LN(F174/E174)</f>
        <v>-3.8198010354028442</v>
      </c>
      <c r="H174" s="4">
        <v>40</v>
      </c>
      <c r="I174" s="4">
        <f>((160*(1/10)*H174)+H174*(1/20)*874.5)*2</f>
        <v>4778</v>
      </c>
      <c r="J174" s="12">
        <v>15073</v>
      </c>
      <c r="K174" s="12">
        <v>53700</v>
      </c>
      <c r="L174" s="14">
        <f t="shared" si="3"/>
        <v>40</v>
      </c>
    </row>
    <row r="175" spans="1:12" ht="19.5" x14ac:dyDescent="0.4">
      <c r="A175" s="1">
        <v>174</v>
      </c>
      <c r="B175" s="1" t="s">
        <v>25</v>
      </c>
      <c r="C175" s="1">
        <v>2019</v>
      </c>
      <c r="D175" t="s">
        <v>12</v>
      </c>
      <c r="E175" s="3">
        <v>125083</v>
      </c>
      <c r="F175" s="3">
        <v>4429</v>
      </c>
      <c r="G175" s="13">
        <f>LN(F175/E175)</f>
        <v>-3.3408036920107764</v>
      </c>
      <c r="H175" s="4">
        <v>46.8</v>
      </c>
      <c r="I175" s="4">
        <f>((160*(1/10)*H175)+H175*(1/20)*874.5)*2</f>
        <v>5590.26</v>
      </c>
      <c r="J175" s="12">
        <v>7751</v>
      </c>
      <c r="K175" s="12">
        <v>40932</v>
      </c>
      <c r="L175" s="14">
        <f t="shared" si="3"/>
        <v>46.8</v>
      </c>
    </row>
    <row r="176" spans="1:12" ht="19.5" x14ac:dyDescent="0.4">
      <c r="A176" s="1">
        <v>175</v>
      </c>
      <c r="B176" s="1" t="s">
        <v>25</v>
      </c>
      <c r="C176" s="1">
        <v>2019</v>
      </c>
      <c r="D176" t="s">
        <v>13</v>
      </c>
      <c r="E176" s="3">
        <v>225298</v>
      </c>
      <c r="F176" s="3">
        <v>7751</v>
      </c>
      <c r="G176" s="13">
        <f>LN(F176/E176)</f>
        <v>-3.3696021030466046</v>
      </c>
      <c r="H176" s="4">
        <v>36</v>
      </c>
      <c r="I176" s="4">
        <f>((160*(1/10)*H176)+H176*(1/20)*874.5)*2</f>
        <v>4300.2000000000007</v>
      </c>
      <c r="J176" s="12">
        <v>15548</v>
      </c>
      <c r="K176" s="12">
        <v>59284</v>
      </c>
      <c r="L176" s="14">
        <f t="shared" si="3"/>
        <v>36</v>
      </c>
    </row>
    <row r="177" spans="1:12" ht="19.5" x14ac:dyDescent="0.4">
      <c r="A177" s="1">
        <v>176</v>
      </c>
      <c r="B177" s="1" t="s">
        <v>25</v>
      </c>
      <c r="C177" s="1">
        <v>2019</v>
      </c>
      <c r="D177" t="s">
        <v>14</v>
      </c>
      <c r="E177" s="3">
        <v>225298</v>
      </c>
      <c r="F177" s="3">
        <v>9835</v>
      </c>
      <c r="G177" s="13">
        <f>LN(F177/E177)</f>
        <v>-3.1314765185049565</v>
      </c>
      <c r="H177" s="4">
        <v>36.6</v>
      </c>
      <c r="I177" s="4">
        <f>((160*(1/10)*H177)+H177*(1/20)*874.5)*2</f>
        <v>4371.87</v>
      </c>
      <c r="J177" s="12">
        <v>8519</v>
      </c>
      <c r="K177" s="12">
        <v>35078</v>
      </c>
      <c r="L177" s="14">
        <f t="shared" si="3"/>
        <v>36.6</v>
      </c>
    </row>
    <row r="178" spans="1:12" ht="19.5" x14ac:dyDescent="0.4">
      <c r="A178" s="1">
        <v>177</v>
      </c>
      <c r="B178" s="1" t="s">
        <v>25</v>
      </c>
      <c r="C178" s="1">
        <v>2019</v>
      </c>
      <c r="D178" t="s">
        <v>15</v>
      </c>
      <c r="E178" s="3">
        <v>135777</v>
      </c>
      <c r="F178" s="3">
        <v>25711</v>
      </c>
      <c r="G178" s="13">
        <f>LN(F178/E178)</f>
        <v>-1.6640949181718319</v>
      </c>
      <c r="H178" s="4">
        <v>26.6</v>
      </c>
      <c r="I178" s="4">
        <f>((160*(1/10)*H178)+H178*(1/20)*874.5)*2</f>
        <v>3177.37</v>
      </c>
      <c r="J178" s="12">
        <v>8295</v>
      </c>
      <c r="K178" s="12">
        <v>50017</v>
      </c>
      <c r="L178" s="14">
        <f t="shared" si="3"/>
        <v>26.6</v>
      </c>
    </row>
    <row r="179" spans="1:12" ht="19.5" x14ac:dyDescent="0.4">
      <c r="A179" s="1">
        <v>178</v>
      </c>
      <c r="B179" s="1" t="s">
        <v>25</v>
      </c>
      <c r="C179" s="1">
        <v>2019</v>
      </c>
      <c r="D179" t="s">
        <v>16</v>
      </c>
      <c r="E179" s="3">
        <v>217040</v>
      </c>
      <c r="F179" s="3">
        <v>3841</v>
      </c>
      <c r="G179" s="13">
        <f>LN(F179/E179)</f>
        <v>-4.0343489189869084</v>
      </c>
      <c r="H179" s="4">
        <v>48.4</v>
      </c>
      <c r="I179" s="4">
        <f>((160*(1/10)*H179)+H179*(1/20)*874.5)*2</f>
        <v>5781.38</v>
      </c>
      <c r="J179" s="12">
        <v>16187</v>
      </c>
      <c r="K179" s="12">
        <v>63371</v>
      </c>
      <c r="L179" s="14">
        <f t="shared" si="3"/>
        <v>48.4</v>
      </c>
    </row>
    <row r="180" spans="1:12" ht="19.5" x14ac:dyDescent="0.4">
      <c r="A180" s="1">
        <v>179</v>
      </c>
      <c r="B180" s="1" t="s">
        <v>25</v>
      </c>
      <c r="C180" s="1">
        <v>2019</v>
      </c>
      <c r="D180" t="s">
        <v>17</v>
      </c>
      <c r="E180" s="3">
        <v>142625</v>
      </c>
      <c r="F180" s="3">
        <v>1388</v>
      </c>
      <c r="G180" s="13">
        <f>LN(F180/E180)</f>
        <v>-4.6323549460976272</v>
      </c>
      <c r="H180" s="4">
        <v>66.8</v>
      </c>
      <c r="I180" s="4">
        <f>((160*(1/10)*H180)+H180*(1/20)*874.5)*2</f>
        <v>7979.26</v>
      </c>
      <c r="J180" s="12">
        <v>10775</v>
      </c>
      <c r="K180" s="12">
        <v>46523</v>
      </c>
      <c r="L180" s="14">
        <f t="shared" si="3"/>
        <v>66.8</v>
      </c>
    </row>
    <row r="181" spans="1:12" ht="19.5" x14ac:dyDescent="0.4">
      <c r="A181" s="1">
        <v>180</v>
      </c>
      <c r="B181" s="1" t="s">
        <v>25</v>
      </c>
      <c r="C181" s="1">
        <v>2019</v>
      </c>
      <c r="D181" t="s">
        <v>18</v>
      </c>
      <c r="E181" s="3">
        <v>56869</v>
      </c>
      <c r="F181" s="3">
        <v>644</v>
      </c>
      <c r="G181" s="13">
        <f>LN(F181/E181)</f>
        <v>-4.480806930078467</v>
      </c>
      <c r="H181" s="4">
        <v>73.8</v>
      </c>
      <c r="I181" s="4">
        <f>((160*(1/10)*H181)+H181*(1/20)*874.5)*2</f>
        <v>8815.41</v>
      </c>
      <c r="J181" s="12">
        <v>4168</v>
      </c>
      <c r="K181" s="12">
        <v>19403</v>
      </c>
      <c r="L181" s="14">
        <f t="shared" si="3"/>
        <v>73.8</v>
      </c>
    </row>
    <row r="182" spans="1:12" ht="19.5" x14ac:dyDescent="0.4">
      <c r="A182" s="1">
        <v>181</v>
      </c>
      <c r="B182" s="1" t="s">
        <v>25</v>
      </c>
      <c r="C182" s="1">
        <v>2019</v>
      </c>
      <c r="D182" t="s">
        <v>19</v>
      </c>
      <c r="E182" s="3">
        <v>121056</v>
      </c>
      <c r="F182" s="3">
        <v>2630</v>
      </c>
      <c r="G182" s="13">
        <f>LN(F182/E182)</f>
        <v>-3.8292694022609455</v>
      </c>
      <c r="H182" s="4">
        <v>68.8</v>
      </c>
      <c r="I182" s="4">
        <f>((160*(1/10)*H182)+H182*(1/20)*874.5)*2</f>
        <v>8218.16</v>
      </c>
      <c r="J182" s="12">
        <v>8520</v>
      </c>
      <c r="K182" s="12">
        <v>38101</v>
      </c>
      <c r="L182" s="14">
        <f t="shared" si="3"/>
        <v>68.8</v>
      </c>
    </row>
    <row r="183" spans="1:12" ht="19.5" x14ac:dyDescent="0.4">
      <c r="A183" s="5">
        <v>182</v>
      </c>
      <c r="B183" s="5" t="s">
        <v>25</v>
      </c>
      <c r="C183" s="5">
        <v>2019</v>
      </c>
      <c r="D183" s="6" t="s">
        <v>20</v>
      </c>
      <c r="E183" s="7">
        <v>58171</v>
      </c>
      <c r="F183" s="7">
        <v>3018</v>
      </c>
      <c r="G183" s="15">
        <f>LN(F183/E183)</f>
        <v>-2.9587925884211699</v>
      </c>
      <c r="H183" s="8">
        <v>57.4</v>
      </c>
      <c r="I183" s="8">
        <f>((160*(1/10)*H183)+H183*(1/20)*874.5)*2</f>
        <v>6856.43</v>
      </c>
      <c r="J183" s="10">
        <v>3816</v>
      </c>
      <c r="K183" s="10">
        <v>19636</v>
      </c>
      <c r="L183" s="16">
        <f t="shared" si="3"/>
        <v>57.4</v>
      </c>
    </row>
    <row r="184" spans="1:12" ht="19.5" x14ac:dyDescent="0.4">
      <c r="A184" s="1">
        <v>183</v>
      </c>
      <c r="B184" s="1" t="s">
        <v>25</v>
      </c>
      <c r="C184" s="1">
        <v>2023</v>
      </c>
      <c r="D184" t="s">
        <v>8</v>
      </c>
      <c r="E184" s="3">
        <v>248680</v>
      </c>
      <c r="F184" s="3">
        <v>5001</v>
      </c>
      <c r="G184" s="13">
        <f>LN(F184/E184)</f>
        <v>-3.9065290369643701</v>
      </c>
      <c r="H184" s="4">
        <v>41.4</v>
      </c>
      <c r="I184" s="4">
        <f>((160*(1/10)*H184)+H184*(1/20)*874.5)*2</f>
        <v>4945.2299999999996</v>
      </c>
      <c r="J184" s="12">
        <v>15767</v>
      </c>
      <c r="K184" s="12">
        <v>67093</v>
      </c>
      <c r="L184" s="14">
        <f t="shared" si="3"/>
        <v>41.4</v>
      </c>
    </row>
    <row r="185" spans="1:12" ht="19.5" x14ac:dyDescent="0.4">
      <c r="A185" s="1">
        <v>184</v>
      </c>
      <c r="B185" s="1" t="s">
        <v>25</v>
      </c>
      <c r="C185" s="1">
        <v>2023</v>
      </c>
      <c r="D185" t="s">
        <v>9</v>
      </c>
      <c r="E185" s="3">
        <v>289323</v>
      </c>
      <c r="F185" s="3">
        <v>4436</v>
      </c>
      <c r="G185" s="13">
        <f>LN(F185/E185)</f>
        <v>-4.1777906415806356</v>
      </c>
      <c r="H185" s="4">
        <v>51.4</v>
      </c>
      <c r="I185" s="4">
        <f>((160*(1/10)*H185)+H185*(1/20)*874.5)*2</f>
        <v>6139.7300000000005</v>
      </c>
      <c r="J185" s="12">
        <v>21442</v>
      </c>
      <c r="K185" s="12">
        <v>81653</v>
      </c>
      <c r="L185" s="14">
        <f t="shared" si="3"/>
        <v>51.4</v>
      </c>
    </row>
    <row r="186" spans="1:12" ht="19.5" x14ac:dyDescent="0.4">
      <c r="A186" s="1">
        <v>185</v>
      </c>
      <c r="B186" s="1" t="s">
        <v>25</v>
      </c>
      <c r="C186" s="1">
        <v>2023</v>
      </c>
      <c r="D186" t="s">
        <v>10</v>
      </c>
      <c r="E186" s="3">
        <v>265379</v>
      </c>
      <c r="F186" s="3">
        <v>3468</v>
      </c>
      <c r="G186" s="13">
        <f>LN(F186/E186)</f>
        <v>-4.3375809340014193</v>
      </c>
      <c r="H186" s="4">
        <v>47.2</v>
      </c>
      <c r="I186" s="4">
        <f>((160*(1/10)*H186)+H186*(1/20)*874.5)*2</f>
        <v>5638.0400000000009</v>
      </c>
      <c r="J186" s="12">
        <v>19571</v>
      </c>
      <c r="K186" s="12">
        <v>74654</v>
      </c>
      <c r="L186" s="14">
        <f t="shared" si="3"/>
        <v>47.2</v>
      </c>
    </row>
    <row r="187" spans="1:12" ht="19.5" x14ac:dyDescent="0.4">
      <c r="A187" s="1">
        <v>186</v>
      </c>
      <c r="B187" s="1" t="s">
        <v>25</v>
      </c>
      <c r="C187" s="1">
        <v>2023</v>
      </c>
      <c r="D187" t="s">
        <v>11</v>
      </c>
      <c r="E187" s="3">
        <v>211835</v>
      </c>
      <c r="F187" s="3">
        <v>4980</v>
      </c>
      <c r="G187" s="13">
        <f>LN(F187/E187)</f>
        <v>-3.7503777787145003</v>
      </c>
      <c r="H187" s="4">
        <v>40</v>
      </c>
      <c r="I187" s="4">
        <f>((160*(1/10)*H187)+H187*(1/20)*874.5)*2</f>
        <v>4778</v>
      </c>
      <c r="J187" s="12">
        <v>15073</v>
      </c>
      <c r="K187" s="12">
        <v>53700</v>
      </c>
      <c r="L187" s="14">
        <f t="shared" si="3"/>
        <v>40</v>
      </c>
    </row>
    <row r="188" spans="1:12" ht="19.5" x14ac:dyDescent="0.4">
      <c r="A188" s="1">
        <v>187</v>
      </c>
      <c r="B188" s="1" t="s">
        <v>25</v>
      </c>
      <c r="C188" s="1">
        <v>2023</v>
      </c>
      <c r="D188" t="s">
        <v>12</v>
      </c>
      <c r="E188" s="3">
        <v>125083</v>
      </c>
      <c r="F188" s="3">
        <v>7838</v>
      </c>
      <c r="G188" s="13">
        <f>LN(F188/E188)</f>
        <v>-2.7699938171743979</v>
      </c>
      <c r="H188" s="4">
        <v>46.8</v>
      </c>
      <c r="I188" s="4">
        <f>((160*(1/10)*H188)+H188*(1/20)*874.5)*2</f>
        <v>5590.26</v>
      </c>
      <c r="J188" s="12">
        <v>7751</v>
      </c>
      <c r="K188" s="12">
        <v>40932</v>
      </c>
      <c r="L188" s="14">
        <f t="shared" si="3"/>
        <v>46.8</v>
      </c>
    </row>
    <row r="189" spans="1:12" ht="19.5" x14ac:dyDescent="0.4">
      <c r="A189" s="1">
        <v>188</v>
      </c>
      <c r="B189" s="1" t="s">
        <v>25</v>
      </c>
      <c r="C189" s="1">
        <v>2023</v>
      </c>
      <c r="D189" t="s">
        <v>13</v>
      </c>
      <c r="E189" s="3">
        <v>225298</v>
      </c>
      <c r="F189" s="3">
        <v>7615</v>
      </c>
      <c r="G189" s="13">
        <f>LN(F189/E189)</f>
        <v>-3.3873039839988537</v>
      </c>
      <c r="H189" s="4">
        <v>36</v>
      </c>
      <c r="I189" s="4">
        <f>((160*(1/10)*H189)+H189*(1/20)*874.5)*2</f>
        <v>4300.2000000000007</v>
      </c>
      <c r="J189" s="12">
        <v>15548</v>
      </c>
      <c r="K189" s="12">
        <v>59284</v>
      </c>
      <c r="L189" s="14">
        <f t="shared" si="3"/>
        <v>36</v>
      </c>
    </row>
    <row r="190" spans="1:12" ht="19.5" x14ac:dyDescent="0.4">
      <c r="A190" s="1">
        <v>189</v>
      </c>
      <c r="B190" s="1" t="s">
        <v>25</v>
      </c>
      <c r="C190" s="1">
        <v>2023</v>
      </c>
      <c r="D190" t="s">
        <v>14</v>
      </c>
      <c r="E190" s="3">
        <v>225298</v>
      </c>
      <c r="F190" s="3">
        <v>5659</v>
      </c>
      <c r="G190" s="13">
        <f>LN(F190/E190)</f>
        <v>-3.6841767721855923</v>
      </c>
      <c r="H190" s="4">
        <v>36.6</v>
      </c>
      <c r="I190" s="4">
        <f>((160*(1/10)*H190)+H190*(1/20)*874.5)*2</f>
        <v>4371.87</v>
      </c>
      <c r="J190" s="12">
        <v>8519</v>
      </c>
      <c r="K190" s="12">
        <v>35078</v>
      </c>
      <c r="L190" s="14">
        <f t="shared" si="3"/>
        <v>36.6</v>
      </c>
    </row>
    <row r="191" spans="1:12" ht="19.5" x14ac:dyDescent="0.4">
      <c r="A191" s="1">
        <v>190</v>
      </c>
      <c r="B191" s="1" t="s">
        <v>25</v>
      </c>
      <c r="C191" s="1">
        <v>2023</v>
      </c>
      <c r="D191" t="s">
        <v>15</v>
      </c>
      <c r="E191" s="3">
        <v>135777</v>
      </c>
      <c r="F191" s="3">
        <v>19335</v>
      </c>
      <c r="G191" s="13">
        <f>LN(F191/E191)</f>
        <v>-1.9490969090054149</v>
      </c>
      <c r="H191" s="4">
        <v>26.6</v>
      </c>
      <c r="I191" s="4">
        <f>((160*(1/10)*H191)+H191*(1/20)*874.5)*2</f>
        <v>3177.37</v>
      </c>
      <c r="J191" s="12">
        <v>8295</v>
      </c>
      <c r="K191" s="12">
        <v>50017</v>
      </c>
      <c r="L191" s="14">
        <f t="shared" si="3"/>
        <v>26.6</v>
      </c>
    </row>
    <row r="192" spans="1:12" ht="19.5" x14ac:dyDescent="0.4">
      <c r="A192" s="1">
        <v>191</v>
      </c>
      <c r="B192" s="1" t="s">
        <v>25</v>
      </c>
      <c r="C192" s="1">
        <v>2023</v>
      </c>
      <c r="D192" t="s">
        <v>16</v>
      </c>
      <c r="E192" s="3">
        <v>217040</v>
      </c>
      <c r="F192" s="3">
        <v>5032</v>
      </c>
      <c r="G192" s="13">
        <f>LN(F192/E192)</f>
        <v>-3.7642641489525368</v>
      </c>
      <c r="H192" s="4">
        <v>48.4</v>
      </c>
      <c r="I192" s="4">
        <f>((160*(1/10)*H192)+H192*(1/20)*874.5)*2</f>
        <v>5781.38</v>
      </c>
      <c r="J192" s="12">
        <v>16187</v>
      </c>
      <c r="K192" s="12">
        <v>63371</v>
      </c>
      <c r="L192" s="14">
        <f t="shared" si="3"/>
        <v>48.4</v>
      </c>
    </row>
    <row r="193" spans="1:12" ht="19.5" x14ac:dyDescent="0.4">
      <c r="A193" s="1">
        <v>192</v>
      </c>
      <c r="B193" s="1" t="s">
        <v>25</v>
      </c>
      <c r="C193" s="1">
        <v>2023</v>
      </c>
      <c r="D193" t="s">
        <v>17</v>
      </c>
      <c r="E193" s="3">
        <v>142625</v>
      </c>
      <c r="F193" s="3">
        <v>2551</v>
      </c>
      <c r="G193" s="13">
        <f>LN(F193/E193)</f>
        <v>-4.0237333690225654</v>
      </c>
      <c r="H193" s="4">
        <v>66.8</v>
      </c>
      <c r="I193" s="4">
        <f>((160*(1/10)*H193)+H193*(1/20)*874.5)*2</f>
        <v>7979.26</v>
      </c>
      <c r="J193" s="12">
        <v>10775</v>
      </c>
      <c r="K193" s="12">
        <v>46523</v>
      </c>
      <c r="L193" s="14">
        <f t="shared" si="3"/>
        <v>66.8</v>
      </c>
    </row>
    <row r="194" spans="1:12" ht="19.5" x14ac:dyDescent="0.4">
      <c r="A194" s="1">
        <v>193</v>
      </c>
      <c r="B194" s="1" t="s">
        <v>25</v>
      </c>
      <c r="C194" s="1">
        <v>2023</v>
      </c>
      <c r="D194" t="s">
        <v>18</v>
      </c>
      <c r="E194" s="3">
        <v>56869</v>
      </c>
      <c r="F194" s="3">
        <v>917</v>
      </c>
      <c r="G194" s="13">
        <f>LN(F194/E194)</f>
        <v>-4.1273981839263554</v>
      </c>
      <c r="H194" s="4">
        <v>73.8</v>
      </c>
      <c r="I194" s="4">
        <f>((160*(1/10)*H194)+H194*(1/20)*874.5)*2</f>
        <v>8815.41</v>
      </c>
      <c r="J194" s="12">
        <v>4168</v>
      </c>
      <c r="K194" s="12">
        <v>19403</v>
      </c>
      <c r="L194" s="14">
        <f t="shared" si="3"/>
        <v>73.8</v>
      </c>
    </row>
    <row r="195" spans="1:12" ht="19.5" x14ac:dyDescent="0.4">
      <c r="A195" s="1">
        <v>194</v>
      </c>
      <c r="B195" s="1" t="s">
        <v>25</v>
      </c>
      <c r="C195" s="1">
        <v>2023</v>
      </c>
      <c r="D195" t="s">
        <v>19</v>
      </c>
      <c r="E195" s="3">
        <v>121056</v>
      </c>
      <c r="F195" s="3">
        <v>3034</v>
      </c>
      <c r="G195" s="13">
        <f>LN(F195/E195)</f>
        <v>-3.6863713675242784</v>
      </c>
      <c r="H195" s="4">
        <v>68.8</v>
      </c>
      <c r="I195" s="4">
        <f>((160*(1/10)*H195)+H195*(1/20)*874.5)*2</f>
        <v>8218.16</v>
      </c>
      <c r="J195" s="12">
        <v>8520</v>
      </c>
      <c r="K195" s="12">
        <v>38101</v>
      </c>
      <c r="L195" s="14">
        <f t="shared" si="3"/>
        <v>68.8</v>
      </c>
    </row>
    <row r="196" spans="1:12" ht="19.5" x14ac:dyDescent="0.4">
      <c r="A196" s="5">
        <v>195</v>
      </c>
      <c r="B196" s="5" t="s">
        <v>25</v>
      </c>
      <c r="C196" s="5">
        <v>2023</v>
      </c>
      <c r="D196" s="6" t="s">
        <v>20</v>
      </c>
      <c r="E196" s="7">
        <v>58171</v>
      </c>
      <c r="F196" s="7">
        <v>1398</v>
      </c>
      <c r="G196" s="15">
        <f>LN(F196/E196)</f>
        <v>-3.7283443049552085</v>
      </c>
      <c r="H196" s="8">
        <v>57.4</v>
      </c>
      <c r="I196" s="8">
        <f>((160*(1/10)*H196)+H196*(1/20)*874.5)*2</f>
        <v>6856.43</v>
      </c>
      <c r="J196" s="10">
        <v>3816</v>
      </c>
      <c r="K196" s="10">
        <v>19636</v>
      </c>
      <c r="L196" s="16">
        <f t="shared" si="3"/>
        <v>57.4</v>
      </c>
    </row>
    <row r="197" spans="1:12" ht="19.5" x14ac:dyDescent="0.4">
      <c r="A197" s="1">
        <v>196</v>
      </c>
      <c r="B197" s="1" t="s">
        <v>25</v>
      </c>
      <c r="C197" s="1">
        <v>2024</v>
      </c>
      <c r="D197" t="s">
        <v>8</v>
      </c>
      <c r="E197" s="3">
        <v>248680</v>
      </c>
      <c r="F197" s="3">
        <v>5069</v>
      </c>
      <c r="G197" s="13">
        <f>LN(F197/E197)</f>
        <v>-3.8930233699109245</v>
      </c>
      <c r="H197" s="4">
        <v>41.4</v>
      </c>
      <c r="I197" s="4">
        <f>((160*(1/10)*H197)+H197*(1/20)*874.5)*2</f>
        <v>4945.2299999999996</v>
      </c>
      <c r="J197" s="12">
        <v>15767</v>
      </c>
      <c r="K197" s="12">
        <v>67093</v>
      </c>
      <c r="L197" s="14">
        <f t="shared" si="3"/>
        <v>41.4</v>
      </c>
    </row>
    <row r="198" spans="1:12" ht="19.5" x14ac:dyDescent="0.4">
      <c r="A198" s="1">
        <v>197</v>
      </c>
      <c r="B198" s="1" t="s">
        <v>25</v>
      </c>
      <c r="C198" s="1">
        <v>2024</v>
      </c>
      <c r="D198" t="s">
        <v>9</v>
      </c>
      <c r="E198" s="3">
        <v>289323</v>
      </c>
      <c r="F198" s="3">
        <v>3855</v>
      </c>
      <c r="G198" s="13">
        <f>LN(F198/E198)</f>
        <v>-4.3181727040534632</v>
      </c>
      <c r="H198" s="4">
        <v>51.4</v>
      </c>
      <c r="I198" s="4">
        <f>((160*(1/10)*H198)+H198*(1/20)*874.5)*2</f>
        <v>6139.7300000000005</v>
      </c>
      <c r="J198" s="12">
        <v>21442</v>
      </c>
      <c r="K198" s="12">
        <v>81653</v>
      </c>
      <c r="L198" s="14">
        <f t="shared" si="3"/>
        <v>51.4</v>
      </c>
    </row>
    <row r="199" spans="1:12" ht="19.5" x14ac:dyDescent="0.4">
      <c r="A199" s="1">
        <v>198</v>
      </c>
      <c r="B199" s="1" t="s">
        <v>25</v>
      </c>
      <c r="C199" s="1">
        <v>2024</v>
      </c>
      <c r="D199" t="s">
        <v>10</v>
      </c>
      <c r="E199" s="3">
        <v>265379</v>
      </c>
      <c r="F199" s="3">
        <v>4387</v>
      </c>
      <c r="G199" s="13">
        <f>LN(F199/E199)</f>
        <v>-4.1025133707356378</v>
      </c>
      <c r="H199" s="4">
        <v>47.2</v>
      </c>
      <c r="I199" s="4">
        <f>((160*(1/10)*H199)+H199*(1/20)*874.5)*2</f>
        <v>5638.0400000000009</v>
      </c>
      <c r="J199" s="12">
        <v>19571</v>
      </c>
      <c r="K199" s="12">
        <v>74654</v>
      </c>
      <c r="L199" s="14">
        <f t="shared" si="3"/>
        <v>47.2</v>
      </c>
    </row>
    <row r="200" spans="1:12" ht="19.5" x14ac:dyDescent="0.4">
      <c r="A200" s="1">
        <v>199</v>
      </c>
      <c r="B200" s="1" t="s">
        <v>25</v>
      </c>
      <c r="C200" s="1">
        <v>2024</v>
      </c>
      <c r="D200" t="s">
        <v>11</v>
      </c>
      <c r="E200" s="3">
        <v>211835</v>
      </c>
      <c r="F200" s="3">
        <v>5951</v>
      </c>
      <c r="G200" s="13">
        <f>LN(F200/E200)</f>
        <v>-3.5722483970883467</v>
      </c>
      <c r="H200" s="4">
        <v>40</v>
      </c>
      <c r="I200" s="4">
        <f>((160*(1/10)*H200)+H200*(1/20)*874.5)*2</f>
        <v>4778</v>
      </c>
      <c r="J200" s="12">
        <v>15073</v>
      </c>
      <c r="K200" s="12">
        <v>53700</v>
      </c>
      <c r="L200" s="14">
        <f t="shared" si="3"/>
        <v>40</v>
      </c>
    </row>
    <row r="201" spans="1:12" ht="19.5" x14ac:dyDescent="0.4">
      <c r="A201" s="1">
        <v>200</v>
      </c>
      <c r="B201" s="1" t="s">
        <v>25</v>
      </c>
      <c r="C201" s="1">
        <v>2024</v>
      </c>
      <c r="D201" t="s">
        <v>12</v>
      </c>
      <c r="E201" s="3">
        <v>125083</v>
      </c>
      <c r="F201" s="3">
        <v>4526</v>
      </c>
      <c r="G201" s="13">
        <f>LN(F201/E201)</f>
        <v>-3.3191389697404921</v>
      </c>
      <c r="H201" s="4">
        <v>46.8</v>
      </c>
      <c r="I201" s="4">
        <f>((160*(1/10)*H201)+H201*(1/20)*874.5)*2</f>
        <v>5590.26</v>
      </c>
      <c r="J201" s="12">
        <v>7751</v>
      </c>
      <c r="K201" s="12">
        <v>40932</v>
      </c>
      <c r="L201" s="14">
        <f t="shared" si="3"/>
        <v>46.8</v>
      </c>
    </row>
    <row r="202" spans="1:12" ht="19.5" x14ac:dyDescent="0.4">
      <c r="A202" s="1">
        <v>201</v>
      </c>
      <c r="B202" s="1" t="s">
        <v>25</v>
      </c>
      <c r="C202" s="1">
        <v>2024</v>
      </c>
      <c r="D202" t="s">
        <v>13</v>
      </c>
      <c r="E202" s="3">
        <v>225298</v>
      </c>
      <c r="F202" s="3">
        <v>5868</v>
      </c>
      <c r="G202" s="13">
        <f>LN(F202/E202)</f>
        <v>-3.6479101100652436</v>
      </c>
      <c r="H202" s="4">
        <v>36</v>
      </c>
      <c r="I202" s="4">
        <f>((160*(1/10)*H202)+H202*(1/20)*874.5)*2</f>
        <v>4300.2000000000007</v>
      </c>
      <c r="J202" s="12">
        <v>15548</v>
      </c>
      <c r="K202" s="12">
        <v>59284</v>
      </c>
      <c r="L202" s="14">
        <f t="shared" si="3"/>
        <v>36</v>
      </c>
    </row>
    <row r="203" spans="1:12" ht="19.5" x14ac:dyDescent="0.4">
      <c r="A203" s="1">
        <v>202</v>
      </c>
      <c r="B203" s="1" t="s">
        <v>25</v>
      </c>
      <c r="C203" s="1">
        <v>2024</v>
      </c>
      <c r="D203" t="s">
        <v>14</v>
      </c>
      <c r="E203" s="3">
        <v>225298</v>
      </c>
      <c r="F203" s="3">
        <v>7036</v>
      </c>
      <c r="G203" s="13">
        <f>LN(F203/E203)</f>
        <v>-3.4663841434706675</v>
      </c>
      <c r="H203" s="4">
        <v>36.6</v>
      </c>
      <c r="I203" s="4">
        <f>((160*(1/10)*H203)+H203*(1/20)*874.5)*2</f>
        <v>4371.87</v>
      </c>
      <c r="J203" s="12">
        <v>8519</v>
      </c>
      <c r="K203" s="12">
        <v>35078</v>
      </c>
      <c r="L203" s="14">
        <f t="shared" si="3"/>
        <v>36.6</v>
      </c>
    </row>
    <row r="204" spans="1:12" ht="19.5" x14ac:dyDescent="0.4">
      <c r="A204" s="1">
        <v>203</v>
      </c>
      <c r="B204" s="1" t="s">
        <v>25</v>
      </c>
      <c r="C204" s="1">
        <v>2024</v>
      </c>
      <c r="D204" t="s">
        <v>15</v>
      </c>
      <c r="E204" s="3">
        <v>135777</v>
      </c>
      <c r="F204" s="3">
        <v>25240</v>
      </c>
      <c r="G204" s="13">
        <f>LN(F204/E204)</f>
        <v>-1.682583796391663</v>
      </c>
      <c r="H204" s="4">
        <v>26.6</v>
      </c>
      <c r="I204" s="4">
        <f>((160*(1/10)*H204)+H204*(1/20)*874.5)*2</f>
        <v>3177.37</v>
      </c>
      <c r="J204" s="12">
        <v>8295</v>
      </c>
      <c r="K204" s="12">
        <v>50017</v>
      </c>
      <c r="L204" s="14">
        <f t="shared" si="3"/>
        <v>26.6</v>
      </c>
    </row>
    <row r="205" spans="1:12" ht="19.5" x14ac:dyDescent="0.4">
      <c r="A205" s="1">
        <v>204</v>
      </c>
      <c r="B205" s="1" t="s">
        <v>25</v>
      </c>
      <c r="C205" s="1">
        <v>2024</v>
      </c>
      <c r="D205" t="s">
        <v>16</v>
      </c>
      <c r="E205" s="3">
        <v>217040</v>
      </c>
      <c r="F205" s="3">
        <v>4167</v>
      </c>
      <c r="G205" s="13">
        <f>LN(F205/E205)</f>
        <v>-3.9528853159103599</v>
      </c>
      <c r="H205" s="4">
        <v>48.4</v>
      </c>
      <c r="I205" s="4">
        <f>((160*(1/10)*H205)+H205*(1/20)*874.5)*2</f>
        <v>5781.38</v>
      </c>
      <c r="J205" s="12">
        <v>16187</v>
      </c>
      <c r="K205" s="12">
        <v>63371</v>
      </c>
      <c r="L205" s="14">
        <f t="shared" si="3"/>
        <v>48.4</v>
      </c>
    </row>
    <row r="206" spans="1:12" ht="19.5" x14ac:dyDescent="0.4">
      <c r="A206" s="1">
        <v>205</v>
      </c>
      <c r="B206" s="1" t="s">
        <v>25</v>
      </c>
      <c r="C206" s="1">
        <v>2024</v>
      </c>
      <c r="D206" t="s">
        <v>17</v>
      </c>
      <c r="E206" s="3">
        <v>142625</v>
      </c>
      <c r="F206" s="3">
        <v>2802</v>
      </c>
      <c r="G206" s="13">
        <f>LN(F206/E206)</f>
        <v>-3.9298853602674244</v>
      </c>
      <c r="H206" s="4">
        <v>66.8</v>
      </c>
      <c r="I206" s="4">
        <f>((160*(1/10)*H206)+H206*(1/20)*874.5)*2</f>
        <v>7979.26</v>
      </c>
      <c r="J206" s="12">
        <v>10775</v>
      </c>
      <c r="K206" s="12">
        <v>46523</v>
      </c>
      <c r="L206" s="14">
        <f t="shared" si="3"/>
        <v>66.8</v>
      </c>
    </row>
    <row r="207" spans="1:12" ht="19.5" x14ac:dyDescent="0.4">
      <c r="A207" s="1">
        <v>206</v>
      </c>
      <c r="B207" s="1" t="s">
        <v>25</v>
      </c>
      <c r="C207" s="1">
        <v>2024</v>
      </c>
      <c r="D207" t="s">
        <v>18</v>
      </c>
      <c r="E207" s="3">
        <v>56869</v>
      </c>
      <c r="F207" s="3">
        <v>391</v>
      </c>
      <c r="G207" s="13">
        <f>LN(F207/E207)</f>
        <v>-4.9797980961974542</v>
      </c>
      <c r="H207" s="4">
        <v>73.8</v>
      </c>
      <c r="I207" s="4">
        <f>((160*(1/10)*H207)+H207*(1/20)*874.5)*2</f>
        <v>8815.41</v>
      </c>
      <c r="J207" s="12">
        <v>4168</v>
      </c>
      <c r="K207" s="12">
        <v>19403</v>
      </c>
      <c r="L207" s="14">
        <f t="shared" si="3"/>
        <v>73.8</v>
      </c>
    </row>
    <row r="208" spans="1:12" ht="19.5" x14ac:dyDescent="0.4">
      <c r="A208" s="1">
        <v>207</v>
      </c>
      <c r="B208" s="1" t="s">
        <v>25</v>
      </c>
      <c r="C208" s="1">
        <v>2024</v>
      </c>
      <c r="D208" t="s">
        <v>19</v>
      </c>
      <c r="E208" s="3">
        <v>121056</v>
      </c>
      <c r="F208" s="3">
        <v>2463</v>
      </c>
      <c r="G208" s="13">
        <f>LN(F208/E208)</f>
        <v>-3.8948731293122179</v>
      </c>
      <c r="H208" s="4">
        <v>68.8</v>
      </c>
      <c r="I208" s="4">
        <f>((160*(1/10)*H208)+H208*(1/20)*874.5)*2</f>
        <v>8218.16</v>
      </c>
      <c r="J208" s="12">
        <v>8520</v>
      </c>
      <c r="K208" s="12">
        <v>38101</v>
      </c>
      <c r="L208" s="14">
        <f t="shared" si="3"/>
        <v>68.8</v>
      </c>
    </row>
    <row r="209" spans="1:12" ht="19.5" x14ac:dyDescent="0.4">
      <c r="A209" s="5">
        <v>208</v>
      </c>
      <c r="B209" s="5" t="s">
        <v>25</v>
      </c>
      <c r="C209" s="5">
        <v>2024</v>
      </c>
      <c r="D209" s="6" t="s">
        <v>20</v>
      </c>
      <c r="E209" s="7">
        <v>58171</v>
      </c>
      <c r="F209" s="7">
        <v>1513</v>
      </c>
      <c r="G209" s="15">
        <f>LN(F209/E209)</f>
        <v>-3.6492925139606083</v>
      </c>
      <c r="H209" s="8">
        <v>57.4</v>
      </c>
      <c r="I209" s="8">
        <f>((160*(1/10)*H209)+H209*(1/20)*874.5)*2</f>
        <v>6856.43</v>
      </c>
      <c r="J209" s="10">
        <v>3816</v>
      </c>
      <c r="K209" s="10">
        <v>19636</v>
      </c>
      <c r="L209" s="16">
        <f t="shared" si="3"/>
        <v>57.4</v>
      </c>
    </row>
    <row r="210" spans="1:12" ht="19.5" x14ac:dyDescent="0.4">
      <c r="A210" s="1">
        <v>209</v>
      </c>
      <c r="B210" s="1" t="s">
        <v>26</v>
      </c>
      <c r="C210" s="1">
        <v>2018</v>
      </c>
      <c r="D210" t="s">
        <v>8</v>
      </c>
      <c r="E210" s="3">
        <v>248680</v>
      </c>
      <c r="F210" s="3">
        <v>14807</v>
      </c>
      <c r="G210" s="13">
        <f>LN(F210/E210)</f>
        <v>-2.8210668874745548</v>
      </c>
      <c r="H210" s="4">
        <v>14.2</v>
      </c>
      <c r="I210" s="4">
        <f>((160*(1/10)*H210)+H210*(1/20)*874.5)*2</f>
        <v>1696.19</v>
      </c>
      <c r="J210" s="12">
        <v>15767</v>
      </c>
      <c r="K210" s="12">
        <v>67093</v>
      </c>
      <c r="L210" s="14">
        <f t="shared" si="3"/>
        <v>14.2</v>
      </c>
    </row>
    <row r="211" spans="1:12" ht="19.5" x14ac:dyDescent="0.4">
      <c r="A211" s="1">
        <v>210</v>
      </c>
      <c r="B211" s="1" t="s">
        <v>26</v>
      </c>
      <c r="C211" s="1">
        <v>2018</v>
      </c>
      <c r="D211" t="s">
        <v>9</v>
      </c>
      <c r="E211" s="3">
        <v>289323</v>
      </c>
      <c r="F211" s="3">
        <v>7767</v>
      </c>
      <c r="G211" s="13">
        <f>LN(F211/E211)</f>
        <v>-3.6176597216312456</v>
      </c>
      <c r="H211" s="4">
        <v>24.4</v>
      </c>
      <c r="I211" s="4">
        <f>((160*(1/10)*H211)+H211*(1/20)*874.5)*2</f>
        <v>2914.58</v>
      </c>
      <c r="J211" s="12">
        <v>21442</v>
      </c>
      <c r="K211" s="12">
        <v>81653</v>
      </c>
      <c r="L211" s="14">
        <f t="shared" si="3"/>
        <v>24.4</v>
      </c>
    </row>
    <row r="212" spans="1:12" ht="19.5" x14ac:dyDescent="0.4">
      <c r="A212" s="1">
        <v>211</v>
      </c>
      <c r="B212" s="1" t="s">
        <v>26</v>
      </c>
      <c r="C212" s="1">
        <v>2018</v>
      </c>
      <c r="D212" t="s">
        <v>10</v>
      </c>
      <c r="E212" s="3">
        <v>265379</v>
      </c>
      <c r="F212" s="3">
        <v>6514</v>
      </c>
      <c r="G212" s="13">
        <f>LN(F212/E212)</f>
        <v>-3.7072052860656735</v>
      </c>
      <c r="H212" s="4">
        <v>20.6</v>
      </c>
      <c r="I212" s="4">
        <f>((160*(1/10)*H212)+H212*(1/20)*874.5)*2</f>
        <v>2460.67</v>
      </c>
      <c r="J212" s="12">
        <v>19571</v>
      </c>
      <c r="K212" s="12">
        <v>74654</v>
      </c>
      <c r="L212" s="14">
        <f t="shared" si="3"/>
        <v>20.6</v>
      </c>
    </row>
    <row r="213" spans="1:12" ht="19.5" x14ac:dyDescent="0.4">
      <c r="A213" s="1">
        <v>212</v>
      </c>
      <c r="B213" s="1" t="s">
        <v>26</v>
      </c>
      <c r="C213" s="1">
        <v>2018</v>
      </c>
      <c r="D213" t="s">
        <v>11</v>
      </c>
      <c r="E213" s="3">
        <v>211835</v>
      </c>
      <c r="F213" s="3">
        <v>7468</v>
      </c>
      <c r="G213" s="13">
        <f>LN(F213/E213)</f>
        <v>-3.3451804440715853</v>
      </c>
      <c r="H213" s="4">
        <v>16.399999999999999</v>
      </c>
      <c r="I213" s="4">
        <f>((160*(1/10)*H213)+H213*(1/20)*874.5)*2</f>
        <v>1958.9799999999998</v>
      </c>
      <c r="J213" s="12">
        <v>15073</v>
      </c>
      <c r="K213" s="12">
        <v>53700</v>
      </c>
      <c r="L213" s="14">
        <f t="shared" si="3"/>
        <v>16.399999999999999</v>
      </c>
    </row>
    <row r="214" spans="1:12" ht="19.5" x14ac:dyDescent="0.4">
      <c r="A214" s="1">
        <v>213</v>
      </c>
      <c r="B214" s="1" t="s">
        <v>26</v>
      </c>
      <c r="C214" s="1">
        <v>2018</v>
      </c>
      <c r="D214" t="s">
        <v>12</v>
      </c>
      <c r="E214" s="3">
        <v>125083</v>
      </c>
      <c r="F214" s="3">
        <v>4296</v>
      </c>
      <c r="G214" s="13">
        <f>LN(F214/E214)</f>
        <v>-3.371293159745274</v>
      </c>
      <c r="H214" s="4">
        <v>27.4</v>
      </c>
      <c r="I214" s="4">
        <f>((160*(1/10)*H214)+H214*(1/20)*874.5)*2</f>
        <v>3272.9300000000003</v>
      </c>
      <c r="J214" s="12">
        <v>7751</v>
      </c>
      <c r="K214" s="12">
        <v>40932</v>
      </c>
      <c r="L214" s="14">
        <f t="shared" si="3"/>
        <v>27.4</v>
      </c>
    </row>
    <row r="215" spans="1:12" ht="19.5" x14ac:dyDescent="0.4">
      <c r="A215" s="1">
        <v>214</v>
      </c>
      <c r="B215" s="1" t="s">
        <v>26</v>
      </c>
      <c r="C215" s="1">
        <v>2018</v>
      </c>
      <c r="D215" t="s">
        <v>13</v>
      </c>
      <c r="E215" s="3">
        <v>225298</v>
      </c>
      <c r="F215" s="3">
        <v>19283</v>
      </c>
      <c r="G215" s="13">
        <f>LN(F215/E215)</f>
        <v>-2.4582000916085112</v>
      </c>
      <c r="H215" s="4">
        <v>13.2</v>
      </c>
      <c r="I215" s="4">
        <f>((160*(1/10)*H215)+H215*(1/20)*874.5)*2</f>
        <v>1576.7400000000002</v>
      </c>
      <c r="J215" s="12">
        <v>15548</v>
      </c>
      <c r="K215" s="12">
        <v>59284</v>
      </c>
      <c r="L215" s="14">
        <f t="shared" si="3"/>
        <v>13.2</v>
      </c>
    </row>
    <row r="216" spans="1:12" ht="19.5" x14ac:dyDescent="0.4">
      <c r="A216" s="1">
        <v>215</v>
      </c>
      <c r="B216" s="1" t="s">
        <v>26</v>
      </c>
      <c r="C216" s="1">
        <v>2018</v>
      </c>
      <c r="D216" t="s">
        <v>14</v>
      </c>
      <c r="E216" s="3">
        <v>225298</v>
      </c>
      <c r="F216" s="3">
        <v>5153</v>
      </c>
      <c r="G216" s="13">
        <f>LN(F216/E216)</f>
        <v>-3.777844900999892</v>
      </c>
      <c r="H216" s="4">
        <v>22</v>
      </c>
      <c r="I216" s="4">
        <f>((160*(1/10)*H216)+H216*(1/20)*874.5)*2</f>
        <v>2627.9</v>
      </c>
      <c r="J216" s="12">
        <v>8519</v>
      </c>
      <c r="K216" s="12">
        <v>35078</v>
      </c>
      <c r="L216" s="14">
        <f t="shared" si="3"/>
        <v>22</v>
      </c>
    </row>
    <row r="217" spans="1:12" ht="19.5" x14ac:dyDescent="0.4">
      <c r="A217" s="1">
        <v>216</v>
      </c>
      <c r="B217" s="1" t="s">
        <v>26</v>
      </c>
      <c r="C217" s="1">
        <v>2018</v>
      </c>
      <c r="D217" t="s">
        <v>15</v>
      </c>
      <c r="E217" s="3">
        <v>135777</v>
      </c>
      <c r="F217" s="3">
        <v>126577</v>
      </c>
      <c r="G217" s="13">
        <f>LN(F217/E217)</f>
        <v>-7.0163015424983377E-2</v>
      </c>
      <c r="H217" s="4">
        <v>3.8</v>
      </c>
      <c r="I217" s="4">
        <f>((160*(1/10)*H217)+H217*(1/20)*874.5)*2</f>
        <v>453.90999999999997</v>
      </c>
      <c r="J217" s="12">
        <v>8295</v>
      </c>
      <c r="K217" s="12">
        <v>50017</v>
      </c>
      <c r="L217" s="14">
        <f t="shared" si="3"/>
        <v>3.8</v>
      </c>
    </row>
    <row r="218" spans="1:12" ht="19.5" x14ac:dyDescent="0.4">
      <c r="A218" s="1">
        <v>217</v>
      </c>
      <c r="B218" s="1" t="s">
        <v>26</v>
      </c>
      <c r="C218" s="1">
        <v>2018</v>
      </c>
      <c r="D218" t="s">
        <v>16</v>
      </c>
      <c r="E218" s="3">
        <v>217040</v>
      </c>
      <c r="F218" s="3">
        <v>6575</v>
      </c>
      <c r="G218" s="13">
        <f>LN(F218/E218)</f>
        <v>-3.4968070902868482</v>
      </c>
      <c r="H218" s="4">
        <v>21.2</v>
      </c>
      <c r="I218" s="4">
        <f>((160*(1/10)*H218)+H218*(1/20)*874.5)*2</f>
        <v>2532.34</v>
      </c>
      <c r="J218" s="12">
        <v>16187</v>
      </c>
      <c r="K218" s="12">
        <v>63371</v>
      </c>
      <c r="L218" s="14">
        <f t="shared" si="3"/>
        <v>21.2</v>
      </c>
    </row>
    <row r="219" spans="1:12" ht="19.5" x14ac:dyDescent="0.4">
      <c r="A219" s="1">
        <v>218</v>
      </c>
      <c r="B219" s="1" t="s">
        <v>26</v>
      </c>
      <c r="C219" s="1">
        <v>2018</v>
      </c>
      <c r="D219" t="s">
        <v>17</v>
      </c>
      <c r="E219" s="3">
        <v>142625</v>
      </c>
      <c r="F219" s="3">
        <v>3507</v>
      </c>
      <c r="G219" s="13">
        <f>LN(F219/E219)</f>
        <v>-3.7054578370241988</v>
      </c>
      <c r="H219" s="4">
        <v>42.6</v>
      </c>
      <c r="I219" s="4">
        <f>((160*(1/10)*H219)+H219*(1/20)*874.5)*2</f>
        <v>5088.5700000000006</v>
      </c>
      <c r="J219" s="12">
        <v>10775</v>
      </c>
      <c r="K219" s="12">
        <v>46523</v>
      </c>
      <c r="L219" s="14">
        <f t="shared" si="3"/>
        <v>42.6</v>
      </c>
    </row>
    <row r="220" spans="1:12" ht="19.5" x14ac:dyDescent="0.4">
      <c r="A220" s="1">
        <v>219</v>
      </c>
      <c r="B220" s="1" t="s">
        <v>26</v>
      </c>
      <c r="C220" s="1">
        <v>2018</v>
      </c>
      <c r="D220" t="s">
        <v>18</v>
      </c>
      <c r="E220" s="3">
        <v>56869</v>
      </c>
      <c r="F220" s="3">
        <v>515</v>
      </c>
      <c r="G220" s="13">
        <f>LN(F220/E220)</f>
        <v>-4.7043387555190845</v>
      </c>
      <c r="H220" s="4">
        <v>46.4</v>
      </c>
      <c r="I220" s="4">
        <f>((160*(1/10)*H220)+H220*(1/20)*874.5)*2</f>
        <v>5542.48</v>
      </c>
      <c r="J220" s="12">
        <v>4168</v>
      </c>
      <c r="K220" s="12">
        <v>19403</v>
      </c>
      <c r="L220" s="14">
        <f t="shared" si="3"/>
        <v>46.4</v>
      </c>
    </row>
    <row r="221" spans="1:12" ht="19.5" x14ac:dyDescent="0.4">
      <c r="A221" s="1">
        <v>220</v>
      </c>
      <c r="B221" s="1" t="s">
        <v>26</v>
      </c>
      <c r="C221" s="1">
        <v>2018</v>
      </c>
      <c r="D221" t="s">
        <v>19</v>
      </c>
      <c r="E221" s="3">
        <v>121056</v>
      </c>
      <c r="F221" s="3">
        <v>1518</v>
      </c>
      <c r="G221" s="13">
        <f>LN(F221/E221)</f>
        <v>-4.3788595694771804</v>
      </c>
      <c r="H221" s="4">
        <v>46.4</v>
      </c>
      <c r="I221" s="4">
        <f>((160*(1/10)*H221)+H221*(1/20)*874.5)*2</f>
        <v>5542.48</v>
      </c>
      <c r="J221" s="12">
        <v>8520</v>
      </c>
      <c r="K221" s="12">
        <v>38101</v>
      </c>
      <c r="L221" s="14">
        <f t="shared" si="3"/>
        <v>46.4</v>
      </c>
    </row>
    <row r="222" spans="1:12" ht="19.5" x14ac:dyDescent="0.4">
      <c r="A222" s="5">
        <v>221</v>
      </c>
      <c r="B222" s="5" t="s">
        <v>26</v>
      </c>
      <c r="C222" s="5">
        <v>2018</v>
      </c>
      <c r="D222" s="6" t="s">
        <v>20</v>
      </c>
      <c r="E222" s="7">
        <v>58171</v>
      </c>
      <c r="F222" s="7">
        <v>2815</v>
      </c>
      <c r="G222" s="15">
        <f>LN(F222/E222)</f>
        <v>-3.028424687175173</v>
      </c>
      <c r="H222" s="8">
        <v>46.2</v>
      </c>
      <c r="I222" s="8">
        <f>((160*(1/10)*H222)+H222*(1/20)*874.5)*2</f>
        <v>5518.59</v>
      </c>
      <c r="J222" s="10">
        <v>3816</v>
      </c>
      <c r="K222" s="10">
        <v>19636</v>
      </c>
      <c r="L222" s="16">
        <f t="shared" ref="L222:L285" si="4">H222</f>
        <v>46.2</v>
      </c>
    </row>
    <row r="223" spans="1:12" ht="19.5" x14ac:dyDescent="0.4">
      <c r="A223" s="1">
        <v>222</v>
      </c>
      <c r="B223" s="1" t="s">
        <v>26</v>
      </c>
      <c r="C223" s="1">
        <v>2019</v>
      </c>
      <c r="D223" t="s">
        <v>8</v>
      </c>
      <c r="E223" s="3">
        <v>248680</v>
      </c>
      <c r="F223" s="3">
        <v>17109</v>
      </c>
      <c r="G223" s="13">
        <f>LN(F223/E223)</f>
        <v>-2.6765622885586251</v>
      </c>
      <c r="H223" s="4">
        <v>14.2</v>
      </c>
      <c r="I223" s="4">
        <f>((160*(1/10)*H223)+H223*(1/20)*874.5)*2</f>
        <v>1696.19</v>
      </c>
      <c r="J223" s="12">
        <v>15767</v>
      </c>
      <c r="K223" s="12">
        <v>67093</v>
      </c>
      <c r="L223" s="14">
        <f t="shared" si="4"/>
        <v>14.2</v>
      </c>
    </row>
    <row r="224" spans="1:12" ht="19.5" x14ac:dyDescent="0.4">
      <c r="A224" s="1">
        <v>223</v>
      </c>
      <c r="B224" s="1" t="s">
        <v>26</v>
      </c>
      <c r="C224" s="1">
        <v>2019</v>
      </c>
      <c r="D224" t="s">
        <v>9</v>
      </c>
      <c r="E224" s="3">
        <v>289323</v>
      </c>
      <c r="F224" s="3">
        <v>13259</v>
      </c>
      <c r="G224" s="13">
        <f>LN(F224/E224)</f>
        <v>-3.0828671439361743</v>
      </c>
      <c r="H224" s="4">
        <v>24.4</v>
      </c>
      <c r="I224" s="4">
        <f>((160*(1/10)*H224)+H224*(1/20)*874.5)*2</f>
        <v>2914.58</v>
      </c>
      <c r="J224" s="12">
        <v>21442</v>
      </c>
      <c r="K224" s="12">
        <v>81653</v>
      </c>
      <c r="L224" s="14">
        <f t="shared" si="4"/>
        <v>24.4</v>
      </c>
    </row>
    <row r="225" spans="1:12" ht="19.5" x14ac:dyDescent="0.4">
      <c r="A225" s="1">
        <v>224</v>
      </c>
      <c r="B225" s="1" t="s">
        <v>26</v>
      </c>
      <c r="C225" s="1">
        <v>2019</v>
      </c>
      <c r="D225" t="s">
        <v>10</v>
      </c>
      <c r="E225" s="3">
        <v>265379</v>
      </c>
      <c r="F225" s="3">
        <v>13386</v>
      </c>
      <c r="G225" s="13">
        <f>LN(F225/E225)</f>
        <v>-2.9869496082412645</v>
      </c>
      <c r="H225" s="4">
        <v>20.6</v>
      </c>
      <c r="I225" s="4">
        <f>((160*(1/10)*H225)+H225*(1/20)*874.5)*2</f>
        <v>2460.67</v>
      </c>
      <c r="J225" s="12">
        <v>19571</v>
      </c>
      <c r="K225" s="12">
        <v>74654</v>
      </c>
      <c r="L225" s="14">
        <f t="shared" si="4"/>
        <v>20.6</v>
      </c>
    </row>
    <row r="226" spans="1:12" ht="19.5" x14ac:dyDescent="0.4">
      <c r="A226" s="1">
        <v>225</v>
      </c>
      <c r="B226" s="1" t="s">
        <v>26</v>
      </c>
      <c r="C226" s="1">
        <v>2019</v>
      </c>
      <c r="D226" t="s">
        <v>11</v>
      </c>
      <c r="E226" s="3">
        <v>211835</v>
      </c>
      <c r="F226" s="3">
        <v>10072</v>
      </c>
      <c r="G226" s="13">
        <f>LN(F226/E226)</f>
        <v>-3.0460483730090155</v>
      </c>
      <c r="H226" s="4">
        <v>16.399999999999999</v>
      </c>
      <c r="I226" s="4">
        <f>((160*(1/10)*H226)+H226*(1/20)*874.5)*2</f>
        <v>1958.9799999999998</v>
      </c>
      <c r="J226" s="12">
        <v>15073</v>
      </c>
      <c r="K226" s="12">
        <v>53700</v>
      </c>
      <c r="L226" s="14">
        <f t="shared" si="4"/>
        <v>16.399999999999999</v>
      </c>
    </row>
    <row r="227" spans="1:12" ht="19.5" x14ac:dyDescent="0.4">
      <c r="A227" s="1">
        <v>226</v>
      </c>
      <c r="B227" s="1" t="s">
        <v>26</v>
      </c>
      <c r="C227" s="1">
        <v>2019</v>
      </c>
      <c r="D227" t="s">
        <v>12</v>
      </c>
      <c r="E227" s="3">
        <v>125083</v>
      </c>
      <c r="F227" s="3">
        <v>4705</v>
      </c>
      <c r="G227" s="13">
        <f>LN(F227/E227)</f>
        <v>-3.2803517439144945</v>
      </c>
      <c r="H227" s="4">
        <v>27.4</v>
      </c>
      <c r="I227" s="4">
        <f>((160*(1/10)*H227)+H227*(1/20)*874.5)*2</f>
        <v>3272.9300000000003</v>
      </c>
      <c r="J227" s="12">
        <v>7751</v>
      </c>
      <c r="K227" s="12">
        <v>40932</v>
      </c>
      <c r="L227" s="14">
        <f t="shared" si="4"/>
        <v>27.4</v>
      </c>
    </row>
    <row r="228" spans="1:12" ht="19.5" x14ac:dyDescent="0.4">
      <c r="A228" s="1">
        <v>227</v>
      </c>
      <c r="B228" s="1" t="s">
        <v>26</v>
      </c>
      <c r="C228" s="1">
        <v>2019</v>
      </c>
      <c r="D228" t="s">
        <v>13</v>
      </c>
      <c r="E228" s="3">
        <v>225298</v>
      </c>
      <c r="F228" s="3">
        <v>22294</v>
      </c>
      <c r="G228" s="13">
        <f>LN(F228/E228)</f>
        <v>-2.3131063863785473</v>
      </c>
      <c r="H228" s="4">
        <v>13.2</v>
      </c>
      <c r="I228" s="4">
        <f>((160*(1/10)*H228)+H228*(1/20)*874.5)*2</f>
        <v>1576.7400000000002</v>
      </c>
      <c r="J228" s="12">
        <v>15548</v>
      </c>
      <c r="K228" s="12">
        <v>59284</v>
      </c>
      <c r="L228" s="14">
        <f t="shared" si="4"/>
        <v>13.2</v>
      </c>
    </row>
    <row r="229" spans="1:12" ht="19.5" x14ac:dyDescent="0.4">
      <c r="A229" s="1">
        <v>228</v>
      </c>
      <c r="B229" s="1" t="s">
        <v>26</v>
      </c>
      <c r="C229" s="1">
        <v>2019</v>
      </c>
      <c r="D229" t="s">
        <v>14</v>
      </c>
      <c r="E229" s="3">
        <v>225298</v>
      </c>
      <c r="F229" s="3">
        <v>6962</v>
      </c>
      <c r="G229" s="13">
        <f>LN(F229/E229)</f>
        <v>-3.4769571809567319</v>
      </c>
      <c r="H229" s="4">
        <v>22</v>
      </c>
      <c r="I229" s="4">
        <f>((160*(1/10)*H229)+H229*(1/20)*874.5)*2</f>
        <v>2627.9</v>
      </c>
      <c r="J229" s="12">
        <v>8519</v>
      </c>
      <c r="K229" s="12">
        <v>35078</v>
      </c>
      <c r="L229" s="14">
        <f t="shared" si="4"/>
        <v>22</v>
      </c>
    </row>
    <row r="230" spans="1:12" ht="19.5" x14ac:dyDescent="0.4">
      <c r="A230" s="1">
        <v>229</v>
      </c>
      <c r="B230" s="1" t="s">
        <v>26</v>
      </c>
      <c r="C230" s="1">
        <v>2019</v>
      </c>
      <c r="D230" t="s">
        <v>15</v>
      </c>
      <c r="E230" s="3">
        <v>135777</v>
      </c>
      <c r="F230" s="3">
        <v>146499</v>
      </c>
      <c r="G230" s="13">
        <f>LN(F230/E230)</f>
        <v>7.6004768430583264E-2</v>
      </c>
      <c r="H230" s="4">
        <v>3.8</v>
      </c>
      <c r="I230" s="4">
        <f>((160*(1/10)*H230)+H230*(1/20)*874.5)*2</f>
        <v>453.90999999999997</v>
      </c>
      <c r="J230" s="12">
        <v>8295</v>
      </c>
      <c r="K230" s="12">
        <v>50017</v>
      </c>
      <c r="L230" s="14">
        <f t="shared" si="4"/>
        <v>3.8</v>
      </c>
    </row>
    <row r="231" spans="1:12" ht="19.5" x14ac:dyDescent="0.4">
      <c r="A231" s="1">
        <v>230</v>
      </c>
      <c r="B231" s="1" t="s">
        <v>26</v>
      </c>
      <c r="C231" s="1">
        <v>2019</v>
      </c>
      <c r="D231" t="s">
        <v>16</v>
      </c>
      <c r="E231" s="3">
        <v>217040</v>
      </c>
      <c r="F231" s="3">
        <v>10995</v>
      </c>
      <c r="G231" s="13">
        <f>LN(F231/E231)</f>
        <v>-2.9826410443439517</v>
      </c>
      <c r="H231" s="4">
        <v>21.2</v>
      </c>
      <c r="I231" s="4">
        <f>((160*(1/10)*H231)+H231*(1/20)*874.5)*2</f>
        <v>2532.34</v>
      </c>
      <c r="J231" s="12">
        <v>16187</v>
      </c>
      <c r="K231" s="12">
        <v>63371</v>
      </c>
      <c r="L231" s="14">
        <f t="shared" si="4"/>
        <v>21.2</v>
      </c>
    </row>
    <row r="232" spans="1:12" ht="19.5" x14ac:dyDescent="0.4">
      <c r="A232" s="1">
        <v>231</v>
      </c>
      <c r="B232" s="1" t="s">
        <v>26</v>
      </c>
      <c r="C232" s="1">
        <v>2019</v>
      </c>
      <c r="D232" t="s">
        <v>17</v>
      </c>
      <c r="E232" s="3">
        <v>142625</v>
      </c>
      <c r="F232" s="3">
        <v>6512</v>
      </c>
      <c r="G232" s="13">
        <f>LN(F232/E232)</f>
        <v>-3.0865721794820007</v>
      </c>
      <c r="H232" s="4">
        <v>42.6</v>
      </c>
      <c r="I232" s="4">
        <f>((160*(1/10)*H232)+H232*(1/20)*874.5)*2</f>
        <v>5088.5700000000006</v>
      </c>
      <c r="J232" s="12">
        <v>10775</v>
      </c>
      <c r="K232" s="12">
        <v>46523</v>
      </c>
      <c r="L232" s="14">
        <f t="shared" si="4"/>
        <v>42.6</v>
      </c>
    </row>
    <row r="233" spans="1:12" ht="19.5" x14ac:dyDescent="0.4">
      <c r="A233" s="1">
        <v>232</v>
      </c>
      <c r="B233" s="1" t="s">
        <v>26</v>
      </c>
      <c r="C233" s="1">
        <v>2019</v>
      </c>
      <c r="D233" t="s">
        <v>18</v>
      </c>
      <c r="E233" s="3">
        <v>56869</v>
      </c>
      <c r="F233" s="3">
        <v>2707</v>
      </c>
      <c r="G233" s="13">
        <f>LN(F233/E233)</f>
        <v>-3.0449093665685192</v>
      </c>
      <c r="H233" s="4">
        <v>46.4</v>
      </c>
      <c r="I233" s="4">
        <f>((160*(1/10)*H233)+H233*(1/20)*874.5)*2</f>
        <v>5542.48</v>
      </c>
      <c r="J233" s="12">
        <v>4168</v>
      </c>
      <c r="K233" s="12">
        <v>19403</v>
      </c>
      <c r="L233" s="14">
        <f t="shared" si="4"/>
        <v>46.4</v>
      </c>
    </row>
    <row r="234" spans="1:12" ht="19.5" x14ac:dyDescent="0.4">
      <c r="A234" s="1">
        <v>233</v>
      </c>
      <c r="B234" s="1" t="s">
        <v>26</v>
      </c>
      <c r="C234" s="1">
        <v>2019</v>
      </c>
      <c r="D234" t="s">
        <v>19</v>
      </c>
      <c r="E234" s="3">
        <v>121056</v>
      </c>
      <c r="F234" s="3">
        <v>3640</v>
      </c>
      <c r="G234" s="13">
        <f>LN(F234/E234)</f>
        <v>-3.5042695668019692</v>
      </c>
      <c r="H234" s="4">
        <v>46.4</v>
      </c>
      <c r="I234" s="4">
        <f>((160*(1/10)*H234)+H234*(1/20)*874.5)*2</f>
        <v>5542.48</v>
      </c>
      <c r="J234" s="12">
        <v>8520</v>
      </c>
      <c r="K234" s="12">
        <v>38101</v>
      </c>
      <c r="L234" s="14">
        <f t="shared" si="4"/>
        <v>46.4</v>
      </c>
    </row>
    <row r="235" spans="1:12" ht="19.5" x14ac:dyDescent="0.4">
      <c r="A235" s="5">
        <v>234</v>
      </c>
      <c r="B235" s="5" t="s">
        <v>26</v>
      </c>
      <c r="C235" s="5">
        <v>2019</v>
      </c>
      <c r="D235" s="6" t="s">
        <v>20</v>
      </c>
      <c r="E235" s="7">
        <v>58171</v>
      </c>
      <c r="F235" s="7">
        <v>1993</v>
      </c>
      <c r="G235" s="15">
        <f>LN(F235/E235)</f>
        <v>-3.3737459075361693</v>
      </c>
      <c r="H235" s="8">
        <v>46.2</v>
      </c>
      <c r="I235" s="8">
        <f>((160*(1/10)*H235)+H235*(1/20)*874.5)*2</f>
        <v>5518.59</v>
      </c>
      <c r="J235" s="10">
        <v>3816</v>
      </c>
      <c r="K235" s="10">
        <v>19636</v>
      </c>
      <c r="L235" s="16">
        <f t="shared" si="4"/>
        <v>46.2</v>
      </c>
    </row>
    <row r="236" spans="1:12" ht="19.5" x14ac:dyDescent="0.4">
      <c r="A236" s="1">
        <v>235</v>
      </c>
      <c r="B236" s="1" t="s">
        <v>26</v>
      </c>
      <c r="C236" s="1">
        <v>2023</v>
      </c>
      <c r="D236" t="s">
        <v>8</v>
      </c>
      <c r="E236" s="3">
        <v>248680</v>
      </c>
      <c r="F236" s="3">
        <v>16103</v>
      </c>
      <c r="G236" s="13">
        <f>LN(F236/E236)</f>
        <v>-2.7371613393652776</v>
      </c>
      <c r="H236" s="4">
        <v>14.2</v>
      </c>
      <c r="I236" s="4">
        <f>((160*(1/10)*H236)+H236*(1/20)*874.5)*2</f>
        <v>1696.19</v>
      </c>
      <c r="J236" s="12">
        <v>15767</v>
      </c>
      <c r="K236" s="12">
        <v>67093</v>
      </c>
      <c r="L236" s="14">
        <f t="shared" si="4"/>
        <v>14.2</v>
      </c>
    </row>
    <row r="237" spans="1:12" ht="19.5" x14ac:dyDescent="0.4">
      <c r="A237" s="1">
        <v>236</v>
      </c>
      <c r="B237" s="1" t="s">
        <v>26</v>
      </c>
      <c r="C237" s="1">
        <v>2023</v>
      </c>
      <c r="D237" t="s">
        <v>9</v>
      </c>
      <c r="E237" s="3">
        <v>289323</v>
      </c>
      <c r="F237" s="3">
        <v>8757</v>
      </c>
      <c r="G237" s="13">
        <f>LN(F237/E237)</f>
        <v>-3.4976903305286684</v>
      </c>
      <c r="H237" s="4">
        <v>24.4</v>
      </c>
      <c r="I237" s="4">
        <f>((160*(1/10)*H237)+H237*(1/20)*874.5)*2</f>
        <v>2914.58</v>
      </c>
      <c r="J237" s="12">
        <v>21442</v>
      </c>
      <c r="K237" s="12">
        <v>81653</v>
      </c>
      <c r="L237" s="14">
        <f t="shared" si="4"/>
        <v>24.4</v>
      </c>
    </row>
    <row r="238" spans="1:12" ht="19.5" x14ac:dyDescent="0.4">
      <c r="A238" s="1">
        <v>237</v>
      </c>
      <c r="B238" s="1" t="s">
        <v>26</v>
      </c>
      <c r="C238" s="1">
        <v>2023</v>
      </c>
      <c r="D238" t="s">
        <v>10</v>
      </c>
      <c r="E238" s="3">
        <v>265379</v>
      </c>
      <c r="F238" s="3">
        <v>8951</v>
      </c>
      <c r="G238" s="13">
        <f>LN(F238/E238)</f>
        <v>-3.3893937350309131</v>
      </c>
      <c r="H238" s="4">
        <v>20.6</v>
      </c>
      <c r="I238" s="4">
        <f>((160*(1/10)*H238)+H238*(1/20)*874.5)*2</f>
        <v>2460.67</v>
      </c>
      <c r="J238" s="12">
        <v>19571</v>
      </c>
      <c r="K238" s="12">
        <v>74654</v>
      </c>
      <c r="L238" s="14">
        <f t="shared" si="4"/>
        <v>20.6</v>
      </c>
    </row>
    <row r="239" spans="1:12" ht="19.5" x14ac:dyDescent="0.4">
      <c r="A239" s="1">
        <v>238</v>
      </c>
      <c r="B239" s="1" t="s">
        <v>26</v>
      </c>
      <c r="C239" s="1">
        <v>2023</v>
      </c>
      <c r="D239" t="s">
        <v>11</v>
      </c>
      <c r="E239" s="3">
        <v>211835</v>
      </c>
      <c r="F239" s="3">
        <v>9649</v>
      </c>
      <c r="G239" s="13">
        <f>LN(F239/E239)</f>
        <v>-3.0889533867128147</v>
      </c>
      <c r="H239" s="4">
        <v>16.399999999999999</v>
      </c>
      <c r="I239" s="4">
        <f>((160*(1/10)*H239)+H239*(1/20)*874.5)*2</f>
        <v>1958.9799999999998</v>
      </c>
      <c r="J239" s="12">
        <v>15073</v>
      </c>
      <c r="K239" s="12">
        <v>53700</v>
      </c>
      <c r="L239" s="14">
        <f t="shared" si="4"/>
        <v>16.399999999999999</v>
      </c>
    </row>
    <row r="240" spans="1:12" ht="19.5" x14ac:dyDescent="0.4">
      <c r="A240" s="1">
        <v>239</v>
      </c>
      <c r="B240" s="1" t="s">
        <v>26</v>
      </c>
      <c r="C240" s="1">
        <v>2023</v>
      </c>
      <c r="D240" t="s">
        <v>12</v>
      </c>
      <c r="E240" s="3">
        <v>125083</v>
      </c>
      <c r="F240" s="3">
        <v>4805</v>
      </c>
      <c r="G240" s="13">
        <f>LN(F240/E240)</f>
        <v>-3.2593204745295816</v>
      </c>
      <c r="H240" s="4">
        <v>27.4</v>
      </c>
      <c r="I240" s="4">
        <f>((160*(1/10)*H240)+H240*(1/20)*874.5)*2</f>
        <v>3272.9300000000003</v>
      </c>
      <c r="J240" s="12">
        <v>7751</v>
      </c>
      <c r="K240" s="12">
        <v>40932</v>
      </c>
      <c r="L240" s="14">
        <f t="shared" si="4"/>
        <v>27.4</v>
      </c>
    </row>
    <row r="241" spans="1:12" ht="19.5" x14ac:dyDescent="0.4">
      <c r="A241" s="1">
        <v>240</v>
      </c>
      <c r="B241" s="1" t="s">
        <v>26</v>
      </c>
      <c r="C241" s="1">
        <v>2023</v>
      </c>
      <c r="D241" t="s">
        <v>13</v>
      </c>
      <c r="E241" s="3">
        <v>225298</v>
      </c>
      <c r="F241" s="3">
        <v>18754</v>
      </c>
      <c r="G241" s="13">
        <f>LN(F241/E241)</f>
        <v>-2.4860169073485454</v>
      </c>
      <c r="H241" s="4">
        <v>13.2</v>
      </c>
      <c r="I241" s="4">
        <f>((160*(1/10)*H241)+H241*(1/20)*874.5)*2</f>
        <v>1576.7400000000002</v>
      </c>
      <c r="J241" s="12">
        <v>15548</v>
      </c>
      <c r="K241" s="12">
        <v>59284</v>
      </c>
      <c r="L241" s="14">
        <f t="shared" si="4"/>
        <v>13.2</v>
      </c>
    </row>
    <row r="242" spans="1:12" ht="19.5" x14ac:dyDescent="0.4">
      <c r="A242" s="1">
        <v>241</v>
      </c>
      <c r="B242" s="1" t="s">
        <v>26</v>
      </c>
      <c r="C242" s="1">
        <v>2023</v>
      </c>
      <c r="D242" t="s">
        <v>14</v>
      </c>
      <c r="E242" s="3">
        <v>225298</v>
      </c>
      <c r="F242" s="3">
        <v>4328</v>
      </c>
      <c r="G242" s="13">
        <f>LN(F242/E242)</f>
        <v>-3.9523184288017985</v>
      </c>
      <c r="H242" s="4">
        <v>22</v>
      </c>
      <c r="I242" s="4">
        <f>((160*(1/10)*H242)+H242*(1/20)*874.5)*2</f>
        <v>2627.9</v>
      </c>
      <c r="J242" s="12">
        <v>8519</v>
      </c>
      <c r="K242" s="12">
        <v>35078</v>
      </c>
      <c r="L242" s="14">
        <f t="shared" si="4"/>
        <v>22</v>
      </c>
    </row>
    <row r="243" spans="1:12" ht="19.5" x14ac:dyDescent="0.4">
      <c r="A243" s="1">
        <v>242</v>
      </c>
      <c r="B243" s="1" t="s">
        <v>26</v>
      </c>
      <c r="C243" s="1">
        <v>2023</v>
      </c>
      <c r="D243" t="s">
        <v>15</v>
      </c>
      <c r="E243" s="3">
        <v>135777</v>
      </c>
      <c r="F243" s="3">
        <v>93534</v>
      </c>
      <c r="G243" s="13">
        <f>LN(F243/E243)</f>
        <v>-0.37268882750607651</v>
      </c>
      <c r="H243" s="4">
        <v>3.8</v>
      </c>
      <c r="I243" s="4">
        <f>((160*(1/10)*H243)+H243*(1/20)*874.5)*2</f>
        <v>453.90999999999997</v>
      </c>
      <c r="J243" s="12">
        <v>8295</v>
      </c>
      <c r="K243" s="12">
        <v>50017</v>
      </c>
      <c r="L243" s="14">
        <f t="shared" si="4"/>
        <v>3.8</v>
      </c>
    </row>
    <row r="244" spans="1:12" ht="19.5" x14ac:dyDescent="0.4">
      <c r="A244" s="1">
        <v>243</v>
      </c>
      <c r="B244" s="1" t="s">
        <v>26</v>
      </c>
      <c r="C244" s="1">
        <v>2023</v>
      </c>
      <c r="D244" t="s">
        <v>16</v>
      </c>
      <c r="E244" s="3">
        <v>217040</v>
      </c>
      <c r="F244" s="3">
        <v>7802</v>
      </c>
      <c r="G244" s="13">
        <f>LN(F244/E244)</f>
        <v>-3.3257015572662114</v>
      </c>
      <c r="H244" s="4">
        <v>21.2</v>
      </c>
      <c r="I244" s="4">
        <f>((160*(1/10)*H244)+H244*(1/20)*874.5)*2</f>
        <v>2532.34</v>
      </c>
      <c r="J244" s="12">
        <v>16187</v>
      </c>
      <c r="K244" s="12">
        <v>63371</v>
      </c>
      <c r="L244" s="14">
        <f t="shared" si="4"/>
        <v>21.2</v>
      </c>
    </row>
    <row r="245" spans="1:12" ht="19.5" x14ac:dyDescent="0.4">
      <c r="A245" s="1">
        <v>244</v>
      </c>
      <c r="B245" s="1" t="s">
        <v>26</v>
      </c>
      <c r="C245" s="1">
        <v>2023</v>
      </c>
      <c r="D245" t="s">
        <v>17</v>
      </c>
      <c r="E245" s="3">
        <v>142625</v>
      </c>
      <c r="F245" s="3">
        <v>3937</v>
      </c>
      <c r="G245" s="13">
        <f>LN(F245/E245)</f>
        <v>-3.5897997962206394</v>
      </c>
      <c r="H245" s="4">
        <v>42.6</v>
      </c>
      <c r="I245" s="4">
        <f>((160*(1/10)*H245)+H245*(1/20)*874.5)*2</f>
        <v>5088.5700000000006</v>
      </c>
      <c r="J245" s="12">
        <v>10775</v>
      </c>
      <c r="K245" s="12">
        <v>46523</v>
      </c>
      <c r="L245" s="14">
        <f t="shared" si="4"/>
        <v>42.6</v>
      </c>
    </row>
    <row r="246" spans="1:12" ht="19.5" x14ac:dyDescent="0.4">
      <c r="A246" s="1">
        <v>245</v>
      </c>
      <c r="B246" s="1" t="s">
        <v>26</v>
      </c>
      <c r="C246" s="1">
        <v>2023</v>
      </c>
      <c r="D246" t="s">
        <v>18</v>
      </c>
      <c r="E246" s="3">
        <v>56869</v>
      </c>
      <c r="F246" s="3">
        <v>1294</v>
      </c>
      <c r="G246" s="13">
        <f>LN(F246/E246)</f>
        <v>-3.7830121811219746</v>
      </c>
      <c r="H246" s="4">
        <v>46.4</v>
      </c>
      <c r="I246" s="4">
        <f>((160*(1/10)*H246)+H246*(1/20)*874.5)*2</f>
        <v>5542.48</v>
      </c>
      <c r="J246" s="12">
        <v>4168</v>
      </c>
      <c r="K246" s="12">
        <v>19403</v>
      </c>
      <c r="L246" s="14">
        <f t="shared" si="4"/>
        <v>46.4</v>
      </c>
    </row>
    <row r="247" spans="1:12" ht="19.5" x14ac:dyDescent="0.4">
      <c r="A247" s="1">
        <v>246</v>
      </c>
      <c r="B247" s="1" t="s">
        <v>26</v>
      </c>
      <c r="C247" s="1">
        <v>2023</v>
      </c>
      <c r="D247" t="s">
        <v>19</v>
      </c>
      <c r="E247" s="3">
        <v>121056</v>
      </c>
      <c r="F247" s="3">
        <v>2978</v>
      </c>
      <c r="G247" s="13">
        <f>LN(F247/E247)</f>
        <v>-3.7050013141888014</v>
      </c>
      <c r="H247" s="4">
        <v>46.4</v>
      </c>
      <c r="I247" s="4">
        <f>((160*(1/10)*H247)+H247*(1/20)*874.5)*2</f>
        <v>5542.48</v>
      </c>
      <c r="J247" s="12">
        <v>8520</v>
      </c>
      <c r="K247" s="12">
        <v>38101</v>
      </c>
      <c r="L247" s="14">
        <f t="shared" si="4"/>
        <v>46.4</v>
      </c>
    </row>
    <row r="248" spans="1:12" ht="19.5" x14ac:dyDescent="0.4">
      <c r="A248" s="5">
        <v>247</v>
      </c>
      <c r="B248" s="5" t="s">
        <v>26</v>
      </c>
      <c r="C248" s="5">
        <v>2023</v>
      </c>
      <c r="D248" s="6" t="s">
        <v>20</v>
      </c>
      <c r="E248" s="7">
        <v>58171</v>
      </c>
      <c r="F248" s="7">
        <v>1079</v>
      </c>
      <c r="G248" s="15">
        <f>LN(F248/E248)</f>
        <v>-3.9873522624908295</v>
      </c>
      <c r="H248" s="8">
        <v>46.2</v>
      </c>
      <c r="I248" s="8">
        <f>((160*(1/10)*H248)+H248*(1/20)*874.5)*2</f>
        <v>5518.59</v>
      </c>
      <c r="J248" s="10">
        <v>3816</v>
      </c>
      <c r="K248" s="10">
        <v>19636</v>
      </c>
      <c r="L248" s="16">
        <f t="shared" si="4"/>
        <v>46.2</v>
      </c>
    </row>
    <row r="249" spans="1:12" ht="19.5" x14ac:dyDescent="0.4">
      <c r="A249" s="1">
        <v>248</v>
      </c>
      <c r="B249" s="1" t="s">
        <v>26</v>
      </c>
      <c r="C249" s="1">
        <v>2024</v>
      </c>
      <c r="D249" t="s">
        <v>8</v>
      </c>
      <c r="E249" s="3">
        <v>248680</v>
      </c>
      <c r="F249" s="3">
        <v>15542</v>
      </c>
      <c r="G249" s="13">
        <f>LN(F249/E249)</f>
        <v>-2.7726208926140865</v>
      </c>
      <c r="H249" s="4">
        <v>14.2</v>
      </c>
      <c r="I249" s="4">
        <f>((160*(1/10)*H249)+H249*(1/20)*874.5)*2</f>
        <v>1696.19</v>
      </c>
      <c r="J249" s="12">
        <v>15767</v>
      </c>
      <c r="K249" s="12">
        <v>67093</v>
      </c>
      <c r="L249" s="14">
        <f t="shared" si="4"/>
        <v>14.2</v>
      </c>
    </row>
    <row r="250" spans="1:12" ht="19.5" x14ac:dyDescent="0.4">
      <c r="A250" s="1">
        <v>249</v>
      </c>
      <c r="B250" s="1" t="s">
        <v>26</v>
      </c>
      <c r="C250" s="1">
        <v>2024</v>
      </c>
      <c r="D250" t="s">
        <v>9</v>
      </c>
      <c r="E250" s="3">
        <v>289323</v>
      </c>
      <c r="F250" s="3">
        <v>8065</v>
      </c>
      <c r="G250" s="13">
        <f>LN(F250/E250)</f>
        <v>-3.5800099994915837</v>
      </c>
      <c r="H250" s="4">
        <v>24.4</v>
      </c>
      <c r="I250" s="4">
        <f>((160*(1/10)*H250)+H250*(1/20)*874.5)*2</f>
        <v>2914.58</v>
      </c>
      <c r="J250" s="12">
        <v>21442</v>
      </c>
      <c r="K250" s="12">
        <v>81653</v>
      </c>
      <c r="L250" s="14">
        <f t="shared" si="4"/>
        <v>24.4</v>
      </c>
    </row>
    <row r="251" spans="1:12" ht="19.5" x14ac:dyDescent="0.4">
      <c r="A251" s="1">
        <v>250</v>
      </c>
      <c r="B251" s="1" t="s">
        <v>26</v>
      </c>
      <c r="C251" s="1">
        <v>2024</v>
      </c>
      <c r="D251" t="s">
        <v>10</v>
      </c>
      <c r="E251" s="3">
        <v>265379</v>
      </c>
      <c r="F251" s="3">
        <v>6684</v>
      </c>
      <c r="G251" s="13">
        <f>LN(F251/E251)</f>
        <v>-3.6814423821865678</v>
      </c>
      <c r="H251" s="4">
        <v>20.6</v>
      </c>
      <c r="I251" s="4">
        <f>((160*(1/10)*H251)+H251*(1/20)*874.5)*2</f>
        <v>2460.67</v>
      </c>
      <c r="J251" s="12">
        <v>19571</v>
      </c>
      <c r="K251" s="12">
        <v>74654</v>
      </c>
      <c r="L251" s="14">
        <f t="shared" si="4"/>
        <v>20.6</v>
      </c>
    </row>
    <row r="252" spans="1:12" ht="19.5" x14ac:dyDescent="0.4">
      <c r="A252" s="1">
        <v>251</v>
      </c>
      <c r="B252" s="1" t="s">
        <v>26</v>
      </c>
      <c r="C252" s="1">
        <v>2024</v>
      </c>
      <c r="D252" t="s">
        <v>11</v>
      </c>
      <c r="E252" s="3">
        <v>211835</v>
      </c>
      <c r="F252" s="3">
        <v>4752</v>
      </c>
      <c r="G252" s="13">
        <f>LN(F252/E252)</f>
        <v>-3.7972420876907176</v>
      </c>
      <c r="H252" s="4">
        <v>16.399999999999999</v>
      </c>
      <c r="I252" s="4">
        <f>((160*(1/10)*H252)+H252*(1/20)*874.5)*2</f>
        <v>1958.9799999999998</v>
      </c>
      <c r="J252" s="12">
        <v>15073</v>
      </c>
      <c r="K252" s="12">
        <v>53700</v>
      </c>
      <c r="L252" s="14">
        <f t="shared" si="4"/>
        <v>16.399999999999999</v>
      </c>
    </row>
    <row r="253" spans="1:12" ht="19.5" x14ac:dyDescent="0.4">
      <c r="A253" s="1">
        <v>252</v>
      </c>
      <c r="B253" s="1" t="s">
        <v>26</v>
      </c>
      <c r="C253" s="1">
        <v>2024</v>
      </c>
      <c r="D253" t="s">
        <v>12</v>
      </c>
      <c r="E253" s="3">
        <v>125083</v>
      </c>
      <c r="F253" s="3">
        <v>3932</v>
      </c>
      <c r="G253" s="13">
        <f>LN(F253/E253)</f>
        <v>-3.4598293146669175</v>
      </c>
      <c r="H253" s="4">
        <v>27.4</v>
      </c>
      <c r="I253" s="4">
        <f>((160*(1/10)*H253)+H253*(1/20)*874.5)*2</f>
        <v>3272.9300000000003</v>
      </c>
      <c r="J253" s="12">
        <v>7751</v>
      </c>
      <c r="K253" s="12">
        <v>40932</v>
      </c>
      <c r="L253" s="14">
        <f t="shared" si="4"/>
        <v>27.4</v>
      </c>
    </row>
    <row r="254" spans="1:12" ht="19.5" x14ac:dyDescent="0.4">
      <c r="A254" s="1">
        <v>253</v>
      </c>
      <c r="B254" s="1" t="s">
        <v>26</v>
      </c>
      <c r="C254" s="1">
        <v>2024</v>
      </c>
      <c r="D254" t="s">
        <v>13</v>
      </c>
      <c r="E254" s="3">
        <v>225298</v>
      </c>
      <c r="F254" s="3">
        <v>19613</v>
      </c>
      <c r="G254" s="13">
        <f>LN(F254/E254)</f>
        <v>-2.441231358666605</v>
      </c>
      <c r="H254" s="4">
        <v>13.2</v>
      </c>
      <c r="I254" s="4">
        <f>((160*(1/10)*H254)+H254*(1/20)*874.5)*2</f>
        <v>1576.7400000000002</v>
      </c>
      <c r="J254" s="12">
        <v>15548</v>
      </c>
      <c r="K254" s="12">
        <v>59284</v>
      </c>
      <c r="L254" s="14">
        <f t="shared" si="4"/>
        <v>13.2</v>
      </c>
    </row>
    <row r="255" spans="1:12" ht="19.5" x14ac:dyDescent="0.4">
      <c r="A255" s="1">
        <v>254</v>
      </c>
      <c r="B255" s="1" t="s">
        <v>26</v>
      </c>
      <c r="C255" s="1">
        <v>2024</v>
      </c>
      <c r="D255" t="s">
        <v>14</v>
      </c>
      <c r="E255" s="3">
        <v>225298</v>
      </c>
      <c r="F255" s="3">
        <v>3765</v>
      </c>
      <c r="G255" s="13">
        <f>LN(F255/E255)</f>
        <v>-4.0916761090941218</v>
      </c>
      <c r="H255" s="4">
        <v>22</v>
      </c>
      <c r="I255" s="4">
        <f>((160*(1/10)*H255)+H255*(1/20)*874.5)*2</f>
        <v>2627.9</v>
      </c>
      <c r="J255" s="12">
        <v>8519</v>
      </c>
      <c r="K255" s="12">
        <v>35078</v>
      </c>
      <c r="L255" s="14">
        <f t="shared" si="4"/>
        <v>22</v>
      </c>
    </row>
    <row r="256" spans="1:12" ht="19.5" x14ac:dyDescent="0.4">
      <c r="A256" s="1">
        <v>255</v>
      </c>
      <c r="B256" s="1" t="s">
        <v>26</v>
      </c>
      <c r="C256" s="1">
        <v>2024</v>
      </c>
      <c r="D256" t="s">
        <v>15</v>
      </c>
      <c r="E256" s="3">
        <v>135777</v>
      </c>
      <c r="F256" s="3">
        <v>94869</v>
      </c>
      <c r="G256" s="13">
        <f>LN(F256/E256)</f>
        <v>-0.35851684145540391</v>
      </c>
      <c r="H256" s="4">
        <v>3.8</v>
      </c>
      <c r="I256" s="4">
        <f>((160*(1/10)*H256)+H256*(1/20)*874.5)*2</f>
        <v>453.90999999999997</v>
      </c>
      <c r="J256" s="12">
        <v>8295</v>
      </c>
      <c r="K256" s="12">
        <v>50017</v>
      </c>
      <c r="L256" s="14">
        <f t="shared" si="4"/>
        <v>3.8</v>
      </c>
    </row>
    <row r="257" spans="1:12" ht="19.5" x14ac:dyDescent="0.4">
      <c r="A257" s="1">
        <v>256</v>
      </c>
      <c r="B257" s="1" t="s">
        <v>26</v>
      </c>
      <c r="C257" s="1">
        <v>2024</v>
      </c>
      <c r="D257" t="s">
        <v>16</v>
      </c>
      <c r="E257" s="3">
        <v>217040</v>
      </c>
      <c r="F257" s="3">
        <v>7281</v>
      </c>
      <c r="G257" s="13">
        <f>LN(F257/E257)</f>
        <v>-3.3948134529381022</v>
      </c>
      <c r="H257" s="4">
        <v>21.2</v>
      </c>
      <c r="I257" s="4">
        <f>((160*(1/10)*H257)+H257*(1/20)*874.5)*2</f>
        <v>2532.34</v>
      </c>
      <c r="J257" s="12">
        <v>16187</v>
      </c>
      <c r="K257" s="12">
        <v>63371</v>
      </c>
      <c r="L257" s="14">
        <f t="shared" si="4"/>
        <v>21.2</v>
      </c>
    </row>
    <row r="258" spans="1:12" ht="19.5" x14ac:dyDescent="0.4">
      <c r="A258" s="1">
        <v>257</v>
      </c>
      <c r="B258" s="1" t="s">
        <v>26</v>
      </c>
      <c r="C258" s="1">
        <v>2024</v>
      </c>
      <c r="D258" t="s">
        <v>17</v>
      </c>
      <c r="E258" s="3">
        <v>142625</v>
      </c>
      <c r="F258" s="3">
        <v>3512</v>
      </c>
      <c r="G258" s="13">
        <f>LN(F258/E258)</f>
        <v>-3.7040331324093696</v>
      </c>
      <c r="H258" s="4">
        <v>42.6</v>
      </c>
      <c r="I258" s="4">
        <f>((160*(1/10)*H258)+H258*(1/20)*874.5)*2</f>
        <v>5088.5700000000006</v>
      </c>
      <c r="J258" s="12">
        <v>10775</v>
      </c>
      <c r="K258" s="12">
        <v>46523</v>
      </c>
      <c r="L258" s="14">
        <f t="shared" si="4"/>
        <v>42.6</v>
      </c>
    </row>
    <row r="259" spans="1:12" ht="19.5" x14ac:dyDescent="0.4">
      <c r="A259" s="1">
        <v>258</v>
      </c>
      <c r="B259" s="1" t="s">
        <v>26</v>
      </c>
      <c r="C259" s="1">
        <v>2024</v>
      </c>
      <c r="D259" t="s">
        <v>18</v>
      </c>
      <c r="E259" s="3">
        <v>56869</v>
      </c>
      <c r="F259" s="3">
        <v>617</v>
      </c>
      <c r="G259" s="13">
        <f>LN(F259/E259)</f>
        <v>-4.5236366322774328</v>
      </c>
      <c r="H259" s="4">
        <v>46.4</v>
      </c>
      <c r="I259" s="4">
        <f>((160*(1/10)*H259)+H259*(1/20)*874.5)*2</f>
        <v>5542.48</v>
      </c>
      <c r="J259" s="12">
        <v>4168</v>
      </c>
      <c r="K259" s="12">
        <v>19403</v>
      </c>
      <c r="L259" s="14">
        <f t="shared" si="4"/>
        <v>46.4</v>
      </c>
    </row>
    <row r="260" spans="1:12" ht="19.5" x14ac:dyDescent="0.4">
      <c r="A260" s="1">
        <v>259</v>
      </c>
      <c r="B260" s="1" t="s">
        <v>26</v>
      </c>
      <c r="C260" s="1">
        <v>2024</v>
      </c>
      <c r="D260" t="s">
        <v>19</v>
      </c>
      <c r="E260" s="3">
        <v>121056</v>
      </c>
      <c r="F260" s="3">
        <v>3364</v>
      </c>
      <c r="G260" s="13">
        <f>LN(F260/E260)</f>
        <v>-3.583122506339917</v>
      </c>
      <c r="H260" s="4">
        <v>46.4</v>
      </c>
      <c r="I260" s="4">
        <f>((160*(1/10)*H260)+H260*(1/20)*874.5)*2</f>
        <v>5542.48</v>
      </c>
      <c r="J260" s="12">
        <v>8520</v>
      </c>
      <c r="K260" s="12">
        <v>38101</v>
      </c>
      <c r="L260" s="14">
        <f t="shared" si="4"/>
        <v>46.4</v>
      </c>
    </row>
    <row r="261" spans="1:12" ht="19.5" x14ac:dyDescent="0.4">
      <c r="A261" s="5">
        <v>260</v>
      </c>
      <c r="B261" s="5" t="s">
        <v>26</v>
      </c>
      <c r="C261" s="5">
        <v>2024</v>
      </c>
      <c r="D261" s="6" t="s">
        <v>20</v>
      </c>
      <c r="E261" s="7">
        <v>58171</v>
      </c>
      <c r="F261" s="7">
        <v>1123</v>
      </c>
      <c r="G261" s="15">
        <f>LN(F261/E261)</f>
        <v>-3.9473832730105207</v>
      </c>
      <c r="H261" s="8">
        <v>46.2</v>
      </c>
      <c r="I261" s="8">
        <f>((160*(1/10)*H261)+H261*(1/20)*874.5)*2</f>
        <v>5518.59</v>
      </c>
      <c r="J261" s="10">
        <v>3816</v>
      </c>
      <c r="K261" s="10">
        <v>19636</v>
      </c>
      <c r="L261" s="16">
        <f t="shared" si="4"/>
        <v>46.2</v>
      </c>
    </row>
    <row r="262" spans="1:12" ht="19.5" x14ac:dyDescent="0.4">
      <c r="A262" s="1">
        <v>261</v>
      </c>
      <c r="B262" s="1" t="s">
        <v>27</v>
      </c>
      <c r="C262" s="1">
        <v>2018</v>
      </c>
      <c r="D262" t="s">
        <v>8</v>
      </c>
      <c r="E262" s="3">
        <v>248680</v>
      </c>
      <c r="F262" s="3">
        <v>10376</v>
      </c>
      <c r="G262" s="13">
        <f>LN(F262/E262)</f>
        <v>-3.1766714823869941</v>
      </c>
      <c r="H262" s="4">
        <v>27.4</v>
      </c>
      <c r="I262" s="4">
        <f>((160*(1/10)*H262)+H262*(1/20)*874.5)*2</f>
        <v>3272.9300000000003</v>
      </c>
      <c r="J262" s="12">
        <v>15767</v>
      </c>
      <c r="K262" s="12">
        <v>67093</v>
      </c>
      <c r="L262" s="14">
        <f t="shared" si="4"/>
        <v>27.4</v>
      </c>
    </row>
    <row r="263" spans="1:12" ht="19.5" x14ac:dyDescent="0.4">
      <c r="A263" s="1">
        <v>262</v>
      </c>
      <c r="B263" s="1" t="s">
        <v>27</v>
      </c>
      <c r="C263" s="1">
        <v>2018</v>
      </c>
      <c r="D263" t="s">
        <v>9</v>
      </c>
      <c r="E263" s="3">
        <v>289323</v>
      </c>
      <c r="F263" s="3">
        <v>4285</v>
      </c>
      <c r="G263" s="13">
        <f>LN(F263/E263)</f>
        <v>-4.2124231590190124</v>
      </c>
      <c r="H263" s="4">
        <v>37.4</v>
      </c>
      <c r="I263" s="4">
        <f>((160*(1/10)*H263)+H263*(1/20)*874.5)*2</f>
        <v>4467.43</v>
      </c>
      <c r="J263" s="12">
        <v>21442</v>
      </c>
      <c r="K263" s="12">
        <v>81653</v>
      </c>
      <c r="L263" s="14">
        <f t="shared" si="4"/>
        <v>37.4</v>
      </c>
    </row>
    <row r="264" spans="1:12" ht="19.5" x14ac:dyDescent="0.4">
      <c r="A264" s="1">
        <v>263</v>
      </c>
      <c r="B264" s="1" t="s">
        <v>27</v>
      </c>
      <c r="C264" s="1">
        <v>2018</v>
      </c>
      <c r="D264" t="s">
        <v>10</v>
      </c>
      <c r="E264" s="3">
        <v>265379</v>
      </c>
      <c r="F264" s="3">
        <v>3958</v>
      </c>
      <c r="G264" s="13">
        <f>LN(F264/E264)</f>
        <v>-4.2054201457393408</v>
      </c>
      <c r="H264" s="4">
        <v>32.799999999999997</v>
      </c>
      <c r="I264" s="4">
        <f>((160*(1/10)*H264)+H264*(1/20)*874.5)*2</f>
        <v>3917.9599999999996</v>
      </c>
      <c r="J264" s="12">
        <v>19571</v>
      </c>
      <c r="K264" s="12">
        <v>74654</v>
      </c>
      <c r="L264" s="14">
        <f t="shared" si="4"/>
        <v>32.799999999999997</v>
      </c>
    </row>
    <row r="265" spans="1:12" ht="19.5" x14ac:dyDescent="0.4">
      <c r="A265" s="1">
        <v>264</v>
      </c>
      <c r="B265" s="1" t="s">
        <v>27</v>
      </c>
      <c r="C265" s="1">
        <v>2018</v>
      </c>
      <c r="D265" t="s">
        <v>11</v>
      </c>
      <c r="E265" s="3">
        <v>211835</v>
      </c>
      <c r="F265" s="3">
        <v>4459</v>
      </c>
      <c r="G265" s="13">
        <f>LN(F265/E265)</f>
        <v>-3.8608831441057219</v>
      </c>
      <c r="H265" s="4">
        <v>28.8</v>
      </c>
      <c r="I265" s="4">
        <f>((160*(1/10)*H265)+H265*(1/20)*874.5)*2</f>
        <v>3440.1600000000003</v>
      </c>
      <c r="J265" s="12">
        <v>15073</v>
      </c>
      <c r="K265" s="12">
        <v>53700</v>
      </c>
      <c r="L265" s="14">
        <f t="shared" si="4"/>
        <v>28.8</v>
      </c>
    </row>
    <row r="266" spans="1:12" ht="19.5" x14ac:dyDescent="0.4">
      <c r="A266" s="1">
        <v>265</v>
      </c>
      <c r="B266" s="1" t="s">
        <v>27</v>
      </c>
      <c r="C266" s="1">
        <v>2018</v>
      </c>
      <c r="D266" t="s">
        <v>12</v>
      </c>
      <c r="E266" s="3">
        <v>125083</v>
      </c>
      <c r="F266" s="3">
        <v>3706</v>
      </c>
      <c r="G266" s="13">
        <f>LN(F266/E266)</f>
        <v>-3.5190243890886697</v>
      </c>
      <c r="H266" s="4">
        <v>39.6</v>
      </c>
      <c r="I266" s="4">
        <f>((160*(1/10)*H266)+H266*(1/20)*874.5)*2</f>
        <v>4730.22</v>
      </c>
      <c r="J266" s="12">
        <v>7751</v>
      </c>
      <c r="K266" s="12">
        <v>40932</v>
      </c>
      <c r="L266" s="14">
        <f t="shared" si="4"/>
        <v>39.6</v>
      </c>
    </row>
    <row r="267" spans="1:12" ht="19.5" x14ac:dyDescent="0.4">
      <c r="A267" s="1">
        <v>266</v>
      </c>
      <c r="B267" s="1" t="s">
        <v>27</v>
      </c>
      <c r="C267" s="1">
        <v>2018</v>
      </c>
      <c r="D267" t="s">
        <v>13</v>
      </c>
      <c r="E267" s="3">
        <v>225298</v>
      </c>
      <c r="F267" s="3">
        <v>6762</v>
      </c>
      <c r="G267" s="13">
        <f>LN(F267/E267)</f>
        <v>-3.5061052660602847</v>
      </c>
      <c r="H267" s="4">
        <v>25.6</v>
      </c>
      <c r="I267" s="4">
        <f>((160*(1/10)*H267)+H267*(1/20)*874.5)*2</f>
        <v>3057.92</v>
      </c>
      <c r="J267" s="12">
        <v>15548</v>
      </c>
      <c r="K267" s="12">
        <v>59284</v>
      </c>
      <c r="L267" s="14">
        <f t="shared" si="4"/>
        <v>25.6</v>
      </c>
    </row>
    <row r="268" spans="1:12" ht="19.5" x14ac:dyDescent="0.4">
      <c r="A268" s="1">
        <v>267</v>
      </c>
      <c r="B268" s="1" t="s">
        <v>27</v>
      </c>
      <c r="C268" s="1">
        <v>2018</v>
      </c>
      <c r="D268" t="s">
        <v>14</v>
      </c>
      <c r="E268" s="3">
        <v>225298</v>
      </c>
      <c r="F268" s="3">
        <v>5131</v>
      </c>
      <c r="G268" s="13">
        <f>LN(F268/E268)</f>
        <v>-3.7821233983861515</v>
      </c>
      <c r="H268" s="4">
        <v>34.4</v>
      </c>
      <c r="I268" s="4">
        <f>((160*(1/10)*H268)+H268*(1/20)*874.5)*2</f>
        <v>4109.08</v>
      </c>
      <c r="J268" s="12">
        <v>8519</v>
      </c>
      <c r="K268" s="12">
        <v>35078</v>
      </c>
      <c r="L268" s="14">
        <f t="shared" si="4"/>
        <v>34.4</v>
      </c>
    </row>
    <row r="269" spans="1:12" ht="19.5" x14ac:dyDescent="0.4">
      <c r="A269" s="1">
        <v>268</v>
      </c>
      <c r="B269" s="1" t="s">
        <v>27</v>
      </c>
      <c r="C269" s="1">
        <v>2018</v>
      </c>
      <c r="D269" t="s">
        <v>15</v>
      </c>
      <c r="E269" s="3">
        <v>135777</v>
      </c>
      <c r="F269" s="3">
        <v>20130</v>
      </c>
      <c r="G269" s="13">
        <f>LN(F269/E269)</f>
        <v>-1.9088025944129754</v>
      </c>
      <c r="H269" s="4">
        <v>12.6</v>
      </c>
      <c r="I269" s="4">
        <f>((160*(1/10)*H269)+H269*(1/20)*874.5)*2</f>
        <v>1505.0700000000002</v>
      </c>
      <c r="J269" s="12">
        <v>8295</v>
      </c>
      <c r="K269" s="12">
        <v>50017</v>
      </c>
      <c r="L269" s="14">
        <f t="shared" si="4"/>
        <v>12.6</v>
      </c>
    </row>
    <row r="270" spans="1:12" ht="19.5" x14ac:dyDescent="0.4">
      <c r="A270" s="1">
        <v>269</v>
      </c>
      <c r="B270" s="1" t="s">
        <v>27</v>
      </c>
      <c r="C270" s="1">
        <v>2018</v>
      </c>
      <c r="D270" t="s">
        <v>16</v>
      </c>
      <c r="E270" s="3">
        <v>217040</v>
      </c>
      <c r="F270" s="3">
        <v>5248</v>
      </c>
      <c r="G270" s="13">
        <f>LN(F270/E270)</f>
        <v>-3.7222346167088882</v>
      </c>
      <c r="H270" s="4">
        <v>34.4</v>
      </c>
      <c r="I270" s="4">
        <f>((160*(1/10)*H270)+H270*(1/20)*874.5)*2</f>
        <v>4109.08</v>
      </c>
      <c r="J270" s="12">
        <v>16187</v>
      </c>
      <c r="K270" s="12">
        <v>63371</v>
      </c>
      <c r="L270" s="14">
        <f t="shared" si="4"/>
        <v>34.4</v>
      </c>
    </row>
    <row r="271" spans="1:12" ht="19.5" x14ac:dyDescent="0.4">
      <c r="A271" s="1">
        <v>270</v>
      </c>
      <c r="B271" s="1" t="s">
        <v>27</v>
      </c>
      <c r="C271" s="1">
        <v>2018</v>
      </c>
      <c r="D271" t="s">
        <v>17</v>
      </c>
      <c r="E271" s="3">
        <v>142625</v>
      </c>
      <c r="F271" s="3">
        <v>2048</v>
      </c>
      <c r="G271" s="13">
        <f>LN(F271/E271)</f>
        <v>-4.2433551010049788</v>
      </c>
      <c r="H271" s="4">
        <v>37.4</v>
      </c>
      <c r="I271" s="4">
        <f>((160*(1/10)*H271)+H271*(1/20)*874.5)*2</f>
        <v>4467.43</v>
      </c>
      <c r="J271" s="12">
        <v>10775</v>
      </c>
      <c r="K271" s="12">
        <v>46523</v>
      </c>
      <c r="L271" s="14">
        <f t="shared" si="4"/>
        <v>37.4</v>
      </c>
    </row>
    <row r="272" spans="1:12" ht="19.5" x14ac:dyDescent="0.4">
      <c r="A272" s="1">
        <v>271</v>
      </c>
      <c r="B272" s="1" t="s">
        <v>27</v>
      </c>
      <c r="C272" s="1">
        <v>2018</v>
      </c>
      <c r="D272" t="s">
        <v>18</v>
      </c>
      <c r="E272" s="3">
        <v>56869</v>
      </c>
      <c r="F272" s="3">
        <v>908</v>
      </c>
      <c r="G272" s="13">
        <f>LN(F272/E272)</f>
        <v>-4.1372612775815272</v>
      </c>
      <c r="H272" s="4">
        <v>59.4</v>
      </c>
      <c r="I272" s="4">
        <f>((160*(1/10)*H272)+H272*(1/20)*874.5)*2</f>
        <v>7095.3300000000008</v>
      </c>
      <c r="J272" s="12">
        <v>4168</v>
      </c>
      <c r="K272" s="12">
        <v>19403</v>
      </c>
      <c r="L272" s="14">
        <f t="shared" si="4"/>
        <v>59.4</v>
      </c>
    </row>
    <row r="273" spans="1:12" ht="19.5" x14ac:dyDescent="0.4">
      <c r="A273" s="1">
        <v>272</v>
      </c>
      <c r="B273" s="1" t="s">
        <v>27</v>
      </c>
      <c r="C273" s="1">
        <v>2018</v>
      </c>
      <c r="D273" t="s">
        <v>19</v>
      </c>
      <c r="E273" s="3">
        <v>121056</v>
      </c>
      <c r="F273" s="3">
        <v>2078</v>
      </c>
      <c r="G273" s="13">
        <f>LN(F273/E273)</f>
        <v>-4.0648473557735834</v>
      </c>
      <c r="H273" s="4">
        <v>60.6</v>
      </c>
      <c r="I273" s="4">
        <f>((160*(1/10)*H273)+H273*(1/20)*874.5)*2</f>
        <v>7238.67</v>
      </c>
      <c r="J273" s="12">
        <v>8520</v>
      </c>
      <c r="K273" s="12">
        <v>38101</v>
      </c>
      <c r="L273" s="14">
        <f t="shared" si="4"/>
        <v>60.6</v>
      </c>
    </row>
    <row r="274" spans="1:12" ht="19.5" x14ac:dyDescent="0.4">
      <c r="A274" s="5">
        <v>273</v>
      </c>
      <c r="B274" s="5" t="s">
        <v>27</v>
      </c>
      <c r="C274" s="5">
        <v>2018</v>
      </c>
      <c r="D274" s="6" t="s">
        <v>20</v>
      </c>
      <c r="E274" s="7">
        <v>58171</v>
      </c>
      <c r="F274" s="7">
        <v>931</v>
      </c>
      <c r="G274" s="15">
        <f>LN(F274/E274)</f>
        <v>-4.1348829504718969</v>
      </c>
      <c r="H274" s="8">
        <v>59</v>
      </c>
      <c r="I274" s="8">
        <f>((160*(1/10)*H274)+H274*(1/20)*874.5)*2</f>
        <v>7047.55</v>
      </c>
      <c r="J274" s="10">
        <v>3816</v>
      </c>
      <c r="K274" s="10">
        <v>19636</v>
      </c>
      <c r="L274" s="16">
        <f t="shared" si="4"/>
        <v>59</v>
      </c>
    </row>
    <row r="275" spans="1:12" ht="19.5" x14ac:dyDescent="0.4">
      <c r="A275" s="1">
        <v>274</v>
      </c>
      <c r="B275" s="1" t="s">
        <v>27</v>
      </c>
      <c r="C275" s="1">
        <v>2019</v>
      </c>
      <c r="D275" t="s">
        <v>8</v>
      </c>
      <c r="E275" s="3">
        <v>248680</v>
      </c>
      <c r="F275" s="3">
        <v>10898</v>
      </c>
      <c r="G275" s="13">
        <f>LN(F275/E275)</f>
        <v>-3.1275876432402301</v>
      </c>
      <c r="H275" s="4">
        <v>27.4</v>
      </c>
      <c r="I275" s="4">
        <f>((160*(1/10)*H275)+H275*(1/20)*874.5)*2</f>
        <v>3272.9300000000003</v>
      </c>
      <c r="J275" s="12">
        <v>15767</v>
      </c>
      <c r="K275" s="12">
        <v>67093</v>
      </c>
      <c r="L275" s="14">
        <f t="shared" si="4"/>
        <v>27.4</v>
      </c>
    </row>
    <row r="276" spans="1:12" ht="19.5" x14ac:dyDescent="0.4">
      <c r="A276" s="1">
        <v>275</v>
      </c>
      <c r="B276" s="1" t="s">
        <v>27</v>
      </c>
      <c r="C276" s="1">
        <v>2019</v>
      </c>
      <c r="D276" t="s">
        <v>9</v>
      </c>
      <c r="E276" s="3">
        <v>289323</v>
      </c>
      <c r="F276" s="3">
        <v>6001</v>
      </c>
      <c r="G276" s="13">
        <f>LN(F276/E276)</f>
        <v>-3.8756175890613802</v>
      </c>
      <c r="H276" s="4">
        <v>37.4</v>
      </c>
      <c r="I276" s="4">
        <f>((160*(1/10)*H276)+H276*(1/20)*874.5)*2</f>
        <v>4467.43</v>
      </c>
      <c r="J276" s="12">
        <v>21442</v>
      </c>
      <c r="K276" s="12">
        <v>81653</v>
      </c>
      <c r="L276" s="14">
        <f t="shared" si="4"/>
        <v>37.4</v>
      </c>
    </row>
    <row r="277" spans="1:12" ht="19.5" x14ac:dyDescent="0.4">
      <c r="A277" s="1">
        <v>276</v>
      </c>
      <c r="B277" s="1" t="s">
        <v>27</v>
      </c>
      <c r="C277" s="1">
        <v>2019</v>
      </c>
      <c r="D277" t="s">
        <v>10</v>
      </c>
      <c r="E277" s="3">
        <v>265379</v>
      </c>
      <c r="F277" s="3">
        <v>8249</v>
      </c>
      <c r="G277" s="13">
        <f>LN(F277/E277)</f>
        <v>-3.4710670120411207</v>
      </c>
      <c r="H277" s="4">
        <v>32.799999999999997</v>
      </c>
      <c r="I277" s="4">
        <f>((160*(1/10)*H277)+H277*(1/20)*874.5)*2</f>
        <v>3917.9599999999996</v>
      </c>
      <c r="J277" s="12">
        <v>19571</v>
      </c>
      <c r="K277" s="12">
        <v>74654</v>
      </c>
      <c r="L277" s="14">
        <f t="shared" si="4"/>
        <v>32.799999999999997</v>
      </c>
    </row>
    <row r="278" spans="1:12" ht="19.5" x14ac:dyDescent="0.4">
      <c r="A278" s="1">
        <v>277</v>
      </c>
      <c r="B278" s="1" t="s">
        <v>27</v>
      </c>
      <c r="C278" s="1">
        <v>2019</v>
      </c>
      <c r="D278" t="s">
        <v>11</v>
      </c>
      <c r="E278" s="3">
        <v>211835</v>
      </c>
      <c r="F278" s="3">
        <v>5380</v>
      </c>
      <c r="G278" s="13">
        <f>LN(F278/E278)</f>
        <v>-3.6731192955773686</v>
      </c>
      <c r="H278" s="4">
        <v>28.8</v>
      </c>
      <c r="I278" s="4">
        <f>((160*(1/10)*H278)+H278*(1/20)*874.5)*2</f>
        <v>3440.1600000000003</v>
      </c>
      <c r="J278" s="12">
        <v>15073</v>
      </c>
      <c r="K278" s="12">
        <v>53700</v>
      </c>
      <c r="L278" s="14">
        <f t="shared" si="4"/>
        <v>28.8</v>
      </c>
    </row>
    <row r="279" spans="1:12" ht="19.5" x14ac:dyDescent="0.4">
      <c r="A279" s="1">
        <v>278</v>
      </c>
      <c r="B279" s="1" t="s">
        <v>27</v>
      </c>
      <c r="C279" s="1">
        <v>2019</v>
      </c>
      <c r="D279" t="s">
        <v>12</v>
      </c>
      <c r="E279" s="3">
        <v>125083</v>
      </c>
      <c r="F279" s="3">
        <v>5875</v>
      </c>
      <c r="G279" s="13">
        <f>LN(F279/E279)</f>
        <v>-3.0582714569216147</v>
      </c>
      <c r="H279" s="4">
        <v>39.6</v>
      </c>
      <c r="I279" s="4">
        <f>((160*(1/10)*H279)+H279*(1/20)*874.5)*2</f>
        <v>4730.22</v>
      </c>
      <c r="J279" s="12">
        <v>7751</v>
      </c>
      <c r="K279" s="12">
        <v>40932</v>
      </c>
      <c r="L279" s="14">
        <f t="shared" si="4"/>
        <v>39.6</v>
      </c>
    </row>
    <row r="280" spans="1:12" ht="19.5" x14ac:dyDescent="0.4">
      <c r="A280" s="1">
        <v>279</v>
      </c>
      <c r="B280" s="1" t="s">
        <v>27</v>
      </c>
      <c r="C280" s="1">
        <v>2019</v>
      </c>
      <c r="D280" t="s">
        <v>13</v>
      </c>
      <c r="E280" s="3">
        <v>225298</v>
      </c>
      <c r="F280" s="3">
        <v>9497</v>
      </c>
      <c r="G280" s="13">
        <f>LN(F280/E280)</f>
        <v>-3.1664480110851638</v>
      </c>
      <c r="H280" s="4">
        <v>25.6</v>
      </c>
      <c r="I280" s="4">
        <f>((160*(1/10)*H280)+H280*(1/20)*874.5)*2</f>
        <v>3057.92</v>
      </c>
      <c r="J280" s="12">
        <v>15548</v>
      </c>
      <c r="K280" s="12">
        <v>59284</v>
      </c>
      <c r="L280" s="14">
        <f t="shared" si="4"/>
        <v>25.6</v>
      </c>
    </row>
    <row r="281" spans="1:12" ht="19.5" x14ac:dyDescent="0.4">
      <c r="A281" s="1">
        <v>280</v>
      </c>
      <c r="B281" s="1" t="s">
        <v>27</v>
      </c>
      <c r="C281" s="1">
        <v>2019</v>
      </c>
      <c r="D281" t="s">
        <v>14</v>
      </c>
      <c r="E281" s="3">
        <v>225298</v>
      </c>
      <c r="F281" s="3">
        <v>4260</v>
      </c>
      <c r="G281" s="13">
        <f>LN(F281/E281)</f>
        <v>-3.9681548100646999</v>
      </c>
      <c r="H281" s="4">
        <v>34.4</v>
      </c>
      <c r="I281" s="4">
        <f>((160*(1/10)*H281)+H281*(1/20)*874.5)*2</f>
        <v>4109.08</v>
      </c>
      <c r="J281" s="12">
        <v>8519</v>
      </c>
      <c r="K281" s="12">
        <v>35078</v>
      </c>
      <c r="L281" s="14">
        <f t="shared" si="4"/>
        <v>34.4</v>
      </c>
    </row>
    <row r="282" spans="1:12" ht="19.5" x14ac:dyDescent="0.4">
      <c r="A282" s="1">
        <v>281</v>
      </c>
      <c r="B282" s="1" t="s">
        <v>27</v>
      </c>
      <c r="C282" s="1">
        <v>2019</v>
      </c>
      <c r="D282" t="s">
        <v>15</v>
      </c>
      <c r="E282" s="3">
        <v>135777</v>
      </c>
      <c r="F282" s="3">
        <v>21780</v>
      </c>
      <c r="G282" s="13">
        <f>LN(F282/E282)</f>
        <v>-1.8300217165598611</v>
      </c>
      <c r="H282" s="4">
        <v>12.6</v>
      </c>
      <c r="I282" s="4">
        <f>((160*(1/10)*H282)+H282*(1/20)*874.5)*2</f>
        <v>1505.0700000000002</v>
      </c>
      <c r="J282" s="12">
        <v>8295</v>
      </c>
      <c r="K282" s="12">
        <v>50017</v>
      </c>
      <c r="L282" s="14">
        <f t="shared" si="4"/>
        <v>12.6</v>
      </c>
    </row>
    <row r="283" spans="1:12" ht="19.5" x14ac:dyDescent="0.4">
      <c r="A283" s="1">
        <v>282</v>
      </c>
      <c r="B283" s="1" t="s">
        <v>27</v>
      </c>
      <c r="C283" s="1">
        <v>2019</v>
      </c>
      <c r="D283" t="s">
        <v>16</v>
      </c>
      <c r="E283" s="3">
        <v>217040</v>
      </c>
      <c r="F283" s="3">
        <v>5650</v>
      </c>
      <c r="G283" s="13">
        <f>LN(F283/E283)</f>
        <v>-3.6484261231923267</v>
      </c>
      <c r="H283" s="4">
        <v>34.4</v>
      </c>
      <c r="I283" s="4">
        <f>((160*(1/10)*H283)+H283*(1/20)*874.5)*2</f>
        <v>4109.08</v>
      </c>
      <c r="J283" s="12">
        <v>16187</v>
      </c>
      <c r="K283" s="12">
        <v>63371</v>
      </c>
      <c r="L283" s="14">
        <f t="shared" si="4"/>
        <v>34.4</v>
      </c>
    </row>
    <row r="284" spans="1:12" ht="19.5" x14ac:dyDescent="0.4">
      <c r="A284" s="1">
        <v>283</v>
      </c>
      <c r="B284" s="1" t="s">
        <v>27</v>
      </c>
      <c r="C284" s="1">
        <v>2019</v>
      </c>
      <c r="D284" t="s">
        <v>17</v>
      </c>
      <c r="E284" s="3">
        <v>142625</v>
      </c>
      <c r="F284" s="3">
        <v>3560</v>
      </c>
      <c r="G284" s="13">
        <f>LN(F284/E284)</f>
        <v>-3.6904582633183005</v>
      </c>
      <c r="H284" s="4">
        <v>37.4</v>
      </c>
      <c r="I284" s="4">
        <f>((160*(1/10)*H284)+H284*(1/20)*874.5)*2</f>
        <v>4467.43</v>
      </c>
      <c r="J284" s="12">
        <v>10775</v>
      </c>
      <c r="K284" s="12">
        <v>46523</v>
      </c>
      <c r="L284" s="14">
        <f t="shared" si="4"/>
        <v>37.4</v>
      </c>
    </row>
    <row r="285" spans="1:12" ht="19.5" x14ac:dyDescent="0.4">
      <c r="A285" s="1">
        <v>284</v>
      </c>
      <c r="B285" s="1" t="s">
        <v>27</v>
      </c>
      <c r="C285" s="1">
        <v>2019</v>
      </c>
      <c r="D285" t="s">
        <v>18</v>
      </c>
      <c r="E285" s="3">
        <v>56869</v>
      </c>
      <c r="F285" s="3">
        <v>888</v>
      </c>
      <c r="G285" s="13">
        <f>LN(F285/E285)</f>
        <v>-4.1595339131906499</v>
      </c>
      <c r="H285" s="4">
        <v>59.4</v>
      </c>
      <c r="I285" s="4">
        <f>((160*(1/10)*H285)+H285*(1/20)*874.5)*2</f>
        <v>7095.3300000000008</v>
      </c>
      <c r="J285" s="12">
        <v>4168</v>
      </c>
      <c r="K285" s="12">
        <v>19403</v>
      </c>
      <c r="L285" s="14">
        <f t="shared" si="4"/>
        <v>59.4</v>
      </c>
    </row>
    <row r="286" spans="1:12" ht="19.5" x14ac:dyDescent="0.4">
      <c r="A286" s="1">
        <v>285</v>
      </c>
      <c r="B286" s="1" t="s">
        <v>27</v>
      </c>
      <c r="C286" s="1">
        <v>2019</v>
      </c>
      <c r="D286" t="s">
        <v>19</v>
      </c>
      <c r="E286" s="3">
        <v>121056</v>
      </c>
      <c r="F286" s="3">
        <v>3022</v>
      </c>
      <c r="G286" s="13">
        <f>LN(F286/E286)</f>
        <v>-3.6903343846000709</v>
      </c>
      <c r="H286" s="4">
        <v>60.6</v>
      </c>
      <c r="I286" s="4">
        <f>((160*(1/10)*H286)+H286*(1/20)*874.5)*2</f>
        <v>7238.67</v>
      </c>
      <c r="J286" s="12">
        <v>8520</v>
      </c>
      <c r="K286" s="12">
        <v>38101</v>
      </c>
      <c r="L286" s="14">
        <f t="shared" ref="L286:L349" si="5">H286</f>
        <v>60.6</v>
      </c>
    </row>
    <row r="287" spans="1:12" ht="19.5" x14ac:dyDescent="0.4">
      <c r="A287" s="5">
        <v>286</v>
      </c>
      <c r="B287" s="5" t="s">
        <v>27</v>
      </c>
      <c r="C287" s="5">
        <v>2019</v>
      </c>
      <c r="D287" s="6" t="s">
        <v>20</v>
      </c>
      <c r="E287" s="7">
        <v>58171</v>
      </c>
      <c r="F287" s="7">
        <v>1964</v>
      </c>
      <c r="G287" s="15">
        <f>LN(F287/E287)</f>
        <v>-3.3884037388345529</v>
      </c>
      <c r="H287" s="8">
        <v>59</v>
      </c>
      <c r="I287" s="8">
        <f>((160*(1/10)*H287)+H287*(1/20)*874.5)*2</f>
        <v>7047.55</v>
      </c>
      <c r="J287" s="10">
        <v>3816</v>
      </c>
      <c r="K287" s="10">
        <v>19636</v>
      </c>
      <c r="L287" s="16">
        <f t="shared" si="5"/>
        <v>59</v>
      </c>
    </row>
    <row r="288" spans="1:12" ht="19.5" x14ac:dyDescent="0.4">
      <c r="A288" s="1">
        <v>287</v>
      </c>
      <c r="B288" s="1" t="s">
        <v>27</v>
      </c>
      <c r="C288" s="1">
        <v>2023</v>
      </c>
      <c r="D288" t="s">
        <v>8</v>
      </c>
      <c r="E288" s="3">
        <v>248680</v>
      </c>
      <c r="F288" s="3">
        <v>8831</v>
      </c>
      <c r="G288" s="13">
        <f>LN(F288/E288)</f>
        <v>-3.3378986709144716</v>
      </c>
      <c r="H288" s="4">
        <v>27.4</v>
      </c>
      <c r="I288" s="4">
        <f>((160*(1/10)*H288)+H288*(1/20)*874.5)*2</f>
        <v>3272.9300000000003</v>
      </c>
      <c r="J288" s="12">
        <v>15767</v>
      </c>
      <c r="K288" s="12">
        <v>67093</v>
      </c>
      <c r="L288" s="14">
        <f t="shared" si="5"/>
        <v>27.4</v>
      </c>
    </row>
    <row r="289" spans="1:12" ht="19.5" x14ac:dyDescent="0.4">
      <c r="A289" s="1">
        <v>288</v>
      </c>
      <c r="B289" s="1" t="s">
        <v>27</v>
      </c>
      <c r="C289" s="1">
        <v>2023</v>
      </c>
      <c r="D289" t="s">
        <v>9</v>
      </c>
      <c r="E289" s="3">
        <v>289323</v>
      </c>
      <c r="F289" s="3">
        <v>7552</v>
      </c>
      <c r="G289" s="13">
        <f>LN(F289/E289)</f>
        <v>-3.6457312822255563</v>
      </c>
      <c r="H289" s="4">
        <v>37.4</v>
      </c>
      <c r="I289" s="4">
        <f>((160*(1/10)*H289)+H289*(1/20)*874.5)*2</f>
        <v>4467.43</v>
      </c>
      <c r="J289" s="12">
        <v>21442</v>
      </c>
      <c r="K289" s="12">
        <v>81653</v>
      </c>
      <c r="L289" s="14">
        <f t="shared" si="5"/>
        <v>37.4</v>
      </c>
    </row>
    <row r="290" spans="1:12" ht="19.5" x14ac:dyDescent="0.4">
      <c r="A290" s="1">
        <v>289</v>
      </c>
      <c r="B290" s="1" t="s">
        <v>27</v>
      </c>
      <c r="C290" s="1">
        <v>2023</v>
      </c>
      <c r="D290" t="s">
        <v>10</v>
      </c>
      <c r="E290" s="3">
        <v>265379</v>
      </c>
      <c r="F290" s="3">
        <v>6176</v>
      </c>
      <c r="G290" s="13">
        <f>LN(F290/E290)</f>
        <v>-3.7604881801972403</v>
      </c>
      <c r="H290" s="4">
        <v>32.799999999999997</v>
      </c>
      <c r="I290" s="4">
        <f>((160*(1/10)*H290)+H290*(1/20)*874.5)*2</f>
        <v>3917.9599999999996</v>
      </c>
      <c r="J290" s="12">
        <v>19571</v>
      </c>
      <c r="K290" s="12">
        <v>74654</v>
      </c>
      <c r="L290" s="14">
        <f t="shared" si="5"/>
        <v>32.799999999999997</v>
      </c>
    </row>
    <row r="291" spans="1:12" ht="19.5" x14ac:dyDescent="0.4">
      <c r="A291" s="1">
        <v>290</v>
      </c>
      <c r="B291" s="1" t="s">
        <v>27</v>
      </c>
      <c r="C291" s="1">
        <v>2023</v>
      </c>
      <c r="D291" t="s">
        <v>11</v>
      </c>
      <c r="E291" s="3">
        <v>211835</v>
      </c>
      <c r="F291" s="3">
        <v>6416</v>
      </c>
      <c r="G291" s="13">
        <f>LN(F291/E291)</f>
        <v>-3.497012799186848</v>
      </c>
      <c r="H291" s="4">
        <v>28.8</v>
      </c>
      <c r="I291" s="4">
        <f>((160*(1/10)*H291)+H291*(1/20)*874.5)*2</f>
        <v>3440.1600000000003</v>
      </c>
      <c r="J291" s="12">
        <v>15073</v>
      </c>
      <c r="K291" s="12">
        <v>53700</v>
      </c>
      <c r="L291" s="14">
        <f t="shared" si="5"/>
        <v>28.8</v>
      </c>
    </row>
    <row r="292" spans="1:12" ht="19.5" x14ac:dyDescent="0.4">
      <c r="A292" s="1">
        <v>291</v>
      </c>
      <c r="B292" s="1" t="s">
        <v>27</v>
      </c>
      <c r="C292" s="1">
        <v>2023</v>
      </c>
      <c r="D292" t="s">
        <v>12</v>
      </c>
      <c r="E292" s="3">
        <v>125083</v>
      </c>
      <c r="F292" s="3">
        <v>3800</v>
      </c>
      <c r="G292" s="13">
        <f>LN(F292/E292)</f>
        <v>-3.4939764502194977</v>
      </c>
      <c r="H292" s="4">
        <v>39.6</v>
      </c>
      <c r="I292" s="4">
        <f>((160*(1/10)*H292)+H292*(1/20)*874.5)*2</f>
        <v>4730.22</v>
      </c>
      <c r="J292" s="12">
        <v>7751</v>
      </c>
      <c r="K292" s="12">
        <v>40932</v>
      </c>
      <c r="L292" s="14">
        <f t="shared" si="5"/>
        <v>39.6</v>
      </c>
    </row>
    <row r="293" spans="1:12" ht="19.5" x14ac:dyDescent="0.4">
      <c r="A293" s="1">
        <v>292</v>
      </c>
      <c r="B293" s="1" t="s">
        <v>27</v>
      </c>
      <c r="C293" s="1">
        <v>2023</v>
      </c>
      <c r="D293" t="s">
        <v>13</v>
      </c>
      <c r="E293" s="3">
        <v>225298</v>
      </c>
      <c r="F293" s="3">
        <v>22019</v>
      </c>
      <c r="G293" s="13">
        <f>LN(F293/E293)</f>
        <v>-2.3255182533433305</v>
      </c>
      <c r="H293" s="4">
        <v>25.6</v>
      </c>
      <c r="I293" s="4">
        <f>((160*(1/10)*H293)+H293*(1/20)*874.5)*2</f>
        <v>3057.92</v>
      </c>
      <c r="J293" s="12">
        <v>15548</v>
      </c>
      <c r="K293" s="12">
        <v>59284</v>
      </c>
      <c r="L293" s="14">
        <f t="shared" si="5"/>
        <v>25.6</v>
      </c>
    </row>
    <row r="294" spans="1:12" ht="19.5" x14ac:dyDescent="0.4">
      <c r="A294" s="1">
        <v>293</v>
      </c>
      <c r="B294" s="1" t="s">
        <v>27</v>
      </c>
      <c r="C294" s="1">
        <v>2023</v>
      </c>
      <c r="D294" t="s">
        <v>14</v>
      </c>
      <c r="E294" s="3">
        <v>225298</v>
      </c>
      <c r="F294" s="3">
        <v>4814</v>
      </c>
      <c r="G294" s="13">
        <f>LN(F294/E294)</f>
        <v>-3.8458956309850989</v>
      </c>
      <c r="H294" s="4">
        <v>34.4</v>
      </c>
      <c r="I294" s="4">
        <f>((160*(1/10)*H294)+H294*(1/20)*874.5)*2</f>
        <v>4109.08</v>
      </c>
      <c r="J294" s="12">
        <v>8519</v>
      </c>
      <c r="K294" s="12">
        <v>35078</v>
      </c>
      <c r="L294" s="14">
        <f t="shared" si="5"/>
        <v>34.4</v>
      </c>
    </row>
    <row r="295" spans="1:12" ht="19.5" x14ac:dyDescent="0.4">
      <c r="A295" s="1">
        <v>294</v>
      </c>
      <c r="B295" s="1" t="s">
        <v>27</v>
      </c>
      <c r="C295" s="1">
        <v>2023</v>
      </c>
      <c r="D295" t="s">
        <v>15</v>
      </c>
      <c r="E295" s="3">
        <v>135777</v>
      </c>
      <c r="F295" s="3">
        <v>26735</v>
      </c>
      <c r="G295" s="13">
        <f>LN(F295/E295)</f>
        <v>-1.6250402656639806</v>
      </c>
      <c r="H295" s="4">
        <v>12.6</v>
      </c>
      <c r="I295" s="4">
        <f>((160*(1/10)*H295)+H295*(1/20)*874.5)*2</f>
        <v>1505.0700000000002</v>
      </c>
      <c r="J295" s="12">
        <v>8295</v>
      </c>
      <c r="K295" s="12">
        <v>50017</v>
      </c>
      <c r="L295" s="14">
        <f t="shared" si="5"/>
        <v>12.6</v>
      </c>
    </row>
    <row r="296" spans="1:12" ht="19.5" x14ac:dyDescent="0.4">
      <c r="A296" s="1">
        <v>295</v>
      </c>
      <c r="B296" s="1" t="s">
        <v>27</v>
      </c>
      <c r="C296" s="1">
        <v>2023</v>
      </c>
      <c r="D296" t="s">
        <v>16</v>
      </c>
      <c r="E296" s="3">
        <v>217040</v>
      </c>
      <c r="F296" s="3">
        <v>7382</v>
      </c>
      <c r="G296" s="13">
        <f>LN(F296/E296)</f>
        <v>-3.3810370637428693</v>
      </c>
      <c r="H296" s="4">
        <v>34.4</v>
      </c>
      <c r="I296" s="4">
        <f>((160*(1/10)*H296)+H296*(1/20)*874.5)*2</f>
        <v>4109.08</v>
      </c>
      <c r="J296" s="12">
        <v>16187</v>
      </c>
      <c r="K296" s="12">
        <v>63371</v>
      </c>
      <c r="L296" s="14">
        <f t="shared" si="5"/>
        <v>34.4</v>
      </c>
    </row>
    <row r="297" spans="1:12" ht="19.5" x14ac:dyDescent="0.4">
      <c r="A297" s="1">
        <v>296</v>
      </c>
      <c r="B297" s="1" t="s">
        <v>27</v>
      </c>
      <c r="C297" s="1">
        <v>2023</v>
      </c>
      <c r="D297" t="s">
        <v>17</v>
      </c>
      <c r="E297" s="3">
        <v>142625</v>
      </c>
      <c r="F297" s="3">
        <v>3982</v>
      </c>
      <c r="G297" s="13">
        <f>LN(F297/E297)</f>
        <v>-3.5784346025402352</v>
      </c>
      <c r="H297" s="4">
        <v>37.4</v>
      </c>
      <c r="I297" s="4">
        <f>((160*(1/10)*H297)+H297*(1/20)*874.5)*2</f>
        <v>4467.43</v>
      </c>
      <c r="J297" s="12">
        <v>10775</v>
      </c>
      <c r="K297" s="12">
        <v>46523</v>
      </c>
      <c r="L297" s="14">
        <f t="shared" si="5"/>
        <v>37.4</v>
      </c>
    </row>
    <row r="298" spans="1:12" ht="19.5" x14ac:dyDescent="0.4">
      <c r="A298" s="1">
        <v>297</v>
      </c>
      <c r="B298" s="1" t="s">
        <v>27</v>
      </c>
      <c r="C298" s="1">
        <v>2023</v>
      </c>
      <c r="D298" t="s">
        <v>18</v>
      </c>
      <c r="E298" s="3">
        <v>56869</v>
      </c>
      <c r="F298" s="3">
        <v>1338</v>
      </c>
      <c r="G298" s="13">
        <f>LN(F298/E298)</f>
        <v>-3.7495744154946467</v>
      </c>
      <c r="H298" s="4">
        <v>59.4</v>
      </c>
      <c r="I298" s="4">
        <f>((160*(1/10)*H298)+H298*(1/20)*874.5)*2</f>
        <v>7095.3300000000008</v>
      </c>
      <c r="J298" s="12">
        <v>4168</v>
      </c>
      <c r="K298" s="12">
        <v>19403</v>
      </c>
      <c r="L298" s="14">
        <f t="shared" si="5"/>
        <v>59.4</v>
      </c>
    </row>
    <row r="299" spans="1:12" ht="19.5" x14ac:dyDescent="0.4">
      <c r="A299" s="1">
        <v>298</v>
      </c>
      <c r="B299" s="1" t="s">
        <v>27</v>
      </c>
      <c r="C299" s="1">
        <v>2023</v>
      </c>
      <c r="D299" t="s">
        <v>19</v>
      </c>
      <c r="E299" s="3">
        <v>121056</v>
      </c>
      <c r="F299" s="3">
        <v>3872</v>
      </c>
      <c r="G299" s="13">
        <f>LN(F299/E299)</f>
        <v>-3.4424820790362882</v>
      </c>
      <c r="H299" s="4">
        <v>60.6</v>
      </c>
      <c r="I299" s="4">
        <f>((160*(1/10)*H299)+H299*(1/20)*874.5)*2</f>
        <v>7238.67</v>
      </c>
      <c r="J299" s="12">
        <v>8520</v>
      </c>
      <c r="K299" s="12">
        <v>38101</v>
      </c>
      <c r="L299" s="14">
        <f t="shared" si="5"/>
        <v>60.6</v>
      </c>
    </row>
    <row r="300" spans="1:12" ht="19.5" x14ac:dyDescent="0.4">
      <c r="A300" s="5">
        <v>299</v>
      </c>
      <c r="B300" s="5" t="s">
        <v>27</v>
      </c>
      <c r="C300" s="5">
        <v>2023</v>
      </c>
      <c r="D300" s="6" t="s">
        <v>20</v>
      </c>
      <c r="E300" s="7">
        <v>58171</v>
      </c>
      <c r="F300" s="7">
        <v>1410</v>
      </c>
      <c r="G300" s="15">
        <f>LN(F300/E300)</f>
        <v>-3.7197972443767502</v>
      </c>
      <c r="H300" s="8">
        <v>59</v>
      </c>
      <c r="I300" s="8">
        <f>((160*(1/10)*H300)+H300*(1/20)*874.5)*2</f>
        <v>7047.55</v>
      </c>
      <c r="J300" s="10">
        <v>3816</v>
      </c>
      <c r="K300" s="10">
        <v>19636</v>
      </c>
      <c r="L300" s="16">
        <f t="shared" si="5"/>
        <v>59</v>
      </c>
    </row>
    <row r="301" spans="1:12" ht="19.5" x14ac:dyDescent="0.4">
      <c r="A301" s="1">
        <v>300</v>
      </c>
      <c r="B301" s="1" t="s">
        <v>27</v>
      </c>
      <c r="C301" s="1">
        <v>2024</v>
      </c>
      <c r="D301" t="s">
        <v>8</v>
      </c>
      <c r="E301" s="3">
        <v>248680</v>
      </c>
      <c r="F301" s="3">
        <v>5322</v>
      </c>
      <c r="G301" s="13">
        <f>LN(F301/E301)</f>
        <v>-3.8443177568456393</v>
      </c>
      <c r="H301" s="4">
        <v>27.4</v>
      </c>
      <c r="I301" s="4">
        <f>((160*(1/10)*H301)+H301*(1/20)*874.5)*2</f>
        <v>3272.9300000000003</v>
      </c>
      <c r="J301" s="12">
        <v>15767</v>
      </c>
      <c r="K301" s="12">
        <v>67093</v>
      </c>
      <c r="L301" s="14">
        <f t="shared" si="5"/>
        <v>27.4</v>
      </c>
    </row>
    <row r="302" spans="1:12" ht="19.5" x14ac:dyDescent="0.4">
      <c r="A302" s="1">
        <v>301</v>
      </c>
      <c r="B302" s="1" t="s">
        <v>27</v>
      </c>
      <c r="C302" s="1">
        <v>2024</v>
      </c>
      <c r="D302" t="s">
        <v>9</v>
      </c>
      <c r="E302" s="3">
        <v>289323</v>
      </c>
      <c r="F302" s="3">
        <v>5265</v>
      </c>
      <c r="G302" s="13">
        <f>LN(F302/E302)</f>
        <v>-4.006462565482817</v>
      </c>
      <c r="H302" s="4">
        <v>37.4</v>
      </c>
      <c r="I302" s="4">
        <f>((160*(1/10)*H302)+H302*(1/20)*874.5)*2</f>
        <v>4467.43</v>
      </c>
      <c r="J302" s="12">
        <v>21442</v>
      </c>
      <c r="K302" s="12">
        <v>81653</v>
      </c>
      <c r="L302" s="14">
        <f t="shared" si="5"/>
        <v>37.4</v>
      </c>
    </row>
    <row r="303" spans="1:12" ht="19.5" x14ac:dyDescent="0.4">
      <c r="A303" s="1">
        <v>302</v>
      </c>
      <c r="B303" s="1" t="s">
        <v>27</v>
      </c>
      <c r="C303" s="1">
        <v>2024</v>
      </c>
      <c r="D303" t="s">
        <v>10</v>
      </c>
      <c r="E303" s="3">
        <v>265379</v>
      </c>
      <c r="F303" s="3">
        <v>4684</v>
      </c>
      <c r="G303" s="13">
        <f>LN(F303/E303)</f>
        <v>-4.0370065471842445</v>
      </c>
      <c r="H303" s="4">
        <v>32.799999999999997</v>
      </c>
      <c r="I303" s="4">
        <f>((160*(1/10)*H303)+H303*(1/20)*874.5)*2</f>
        <v>3917.9599999999996</v>
      </c>
      <c r="J303" s="12">
        <v>19571</v>
      </c>
      <c r="K303" s="12">
        <v>74654</v>
      </c>
      <c r="L303" s="14">
        <f t="shared" si="5"/>
        <v>32.799999999999997</v>
      </c>
    </row>
    <row r="304" spans="1:12" ht="19.5" x14ac:dyDescent="0.4">
      <c r="A304" s="1">
        <v>303</v>
      </c>
      <c r="B304" s="1" t="s">
        <v>27</v>
      </c>
      <c r="C304" s="1">
        <v>2024</v>
      </c>
      <c r="D304" t="s">
        <v>11</v>
      </c>
      <c r="E304" s="3">
        <v>211835</v>
      </c>
      <c r="F304" s="3">
        <v>4370</v>
      </c>
      <c r="G304" s="13">
        <f>LN(F304/E304)</f>
        <v>-3.8810446606435627</v>
      </c>
      <c r="H304" s="4">
        <v>28.8</v>
      </c>
      <c r="I304" s="4">
        <f>((160*(1/10)*H304)+H304*(1/20)*874.5)*2</f>
        <v>3440.1600000000003</v>
      </c>
      <c r="J304" s="12">
        <v>15073</v>
      </c>
      <c r="K304" s="12">
        <v>53700</v>
      </c>
      <c r="L304" s="14">
        <f t="shared" si="5"/>
        <v>28.8</v>
      </c>
    </row>
    <row r="305" spans="1:12" ht="19.5" x14ac:dyDescent="0.4">
      <c r="A305" s="1">
        <v>304</v>
      </c>
      <c r="B305" s="1" t="s">
        <v>27</v>
      </c>
      <c r="C305" s="1">
        <v>2024</v>
      </c>
      <c r="D305" t="s">
        <v>12</v>
      </c>
      <c r="E305" s="3">
        <v>125083</v>
      </c>
      <c r="F305" s="3">
        <v>1785</v>
      </c>
      <c r="G305" s="13">
        <f>LN(F305/E305)</f>
        <v>-4.2495591017202354</v>
      </c>
      <c r="H305" s="4">
        <v>39.6</v>
      </c>
      <c r="I305" s="4">
        <f>((160*(1/10)*H305)+H305*(1/20)*874.5)*2</f>
        <v>4730.22</v>
      </c>
      <c r="J305" s="12">
        <v>7751</v>
      </c>
      <c r="K305" s="12">
        <v>40932</v>
      </c>
      <c r="L305" s="14">
        <f t="shared" si="5"/>
        <v>39.6</v>
      </c>
    </row>
    <row r="306" spans="1:12" ht="19.5" x14ac:dyDescent="0.4">
      <c r="A306" s="1">
        <v>305</v>
      </c>
      <c r="B306" s="1" t="s">
        <v>27</v>
      </c>
      <c r="C306" s="1">
        <v>2024</v>
      </c>
      <c r="D306" t="s">
        <v>13</v>
      </c>
      <c r="E306" s="3">
        <v>225298</v>
      </c>
      <c r="F306" s="3">
        <v>6577</v>
      </c>
      <c r="G306" s="13">
        <f>LN(F306/E306)</f>
        <v>-3.533845256026765</v>
      </c>
      <c r="H306" s="4">
        <v>25.6</v>
      </c>
      <c r="I306" s="4">
        <f>((160*(1/10)*H306)+H306*(1/20)*874.5)*2</f>
        <v>3057.92</v>
      </c>
      <c r="J306" s="12">
        <v>15548</v>
      </c>
      <c r="K306" s="12">
        <v>59284</v>
      </c>
      <c r="L306" s="14">
        <f t="shared" si="5"/>
        <v>25.6</v>
      </c>
    </row>
    <row r="307" spans="1:12" ht="19.5" x14ac:dyDescent="0.4">
      <c r="A307" s="1">
        <v>306</v>
      </c>
      <c r="B307" s="1" t="s">
        <v>27</v>
      </c>
      <c r="C307" s="1">
        <v>2024</v>
      </c>
      <c r="D307" t="s">
        <v>14</v>
      </c>
      <c r="E307" s="3">
        <v>225298</v>
      </c>
      <c r="F307" s="3">
        <v>1979</v>
      </c>
      <c r="G307" s="13">
        <f>LN(F307/E307)</f>
        <v>-4.7348323037255504</v>
      </c>
      <c r="H307" s="4">
        <v>34.4</v>
      </c>
      <c r="I307" s="4">
        <f>((160*(1/10)*H307)+H307*(1/20)*874.5)*2</f>
        <v>4109.08</v>
      </c>
      <c r="J307" s="12">
        <v>8519</v>
      </c>
      <c r="K307" s="12">
        <v>35078</v>
      </c>
      <c r="L307" s="14">
        <f t="shared" si="5"/>
        <v>34.4</v>
      </c>
    </row>
    <row r="308" spans="1:12" ht="19.5" x14ac:dyDescent="0.4">
      <c r="A308" s="1">
        <v>307</v>
      </c>
      <c r="B308" s="1" t="s">
        <v>27</v>
      </c>
      <c r="C308" s="1">
        <v>2024</v>
      </c>
      <c r="D308" t="s">
        <v>15</v>
      </c>
      <c r="E308" s="3">
        <v>135777</v>
      </c>
      <c r="F308" s="3">
        <v>25125</v>
      </c>
      <c r="G308" s="13">
        <f>LN(F308/E308)</f>
        <v>-1.6871504676854356</v>
      </c>
      <c r="H308" s="4">
        <v>12.6</v>
      </c>
      <c r="I308" s="4">
        <f>((160*(1/10)*H308)+H308*(1/20)*874.5)*2</f>
        <v>1505.0700000000002</v>
      </c>
      <c r="J308" s="12">
        <v>8295</v>
      </c>
      <c r="K308" s="12">
        <v>50017</v>
      </c>
      <c r="L308" s="14">
        <f t="shared" si="5"/>
        <v>12.6</v>
      </c>
    </row>
    <row r="309" spans="1:12" ht="19.5" x14ac:dyDescent="0.4">
      <c r="A309" s="1">
        <v>308</v>
      </c>
      <c r="B309" s="1" t="s">
        <v>27</v>
      </c>
      <c r="C309" s="1">
        <v>2024</v>
      </c>
      <c r="D309" t="s">
        <v>16</v>
      </c>
      <c r="E309" s="3">
        <v>217040</v>
      </c>
      <c r="F309" s="3">
        <v>4154</v>
      </c>
      <c r="G309" s="13">
        <f>LN(F309/E309)</f>
        <v>-3.9560099428967557</v>
      </c>
      <c r="H309" s="4">
        <v>34.4</v>
      </c>
      <c r="I309" s="4">
        <f>((160*(1/10)*H309)+H309*(1/20)*874.5)*2</f>
        <v>4109.08</v>
      </c>
      <c r="J309" s="12">
        <v>16187</v>
      </c>
      <c r="K309" s="12">
        <v>63371</v>
      </c>
      <c r="L309" s="14">
        <f t="shared" si="5"/>
        <v>34.4</v>
      </c>
    </row>
    <row r="310" spans="1:12" ht="19.5" x14ac:dyDescent="0.4">
      <c r="A310" s="1">
        <v>309</v>
      </c>
      <c r="B310" s="1" t="s">
        <v>27</v>
      </c>
      <c r="C310" s="1">
        <v>2024</v>
      </c>
      <c r="D310" t="s">
        <v>17</v>
      </c>
      <c r="E310" s="3">
        <v>142625</v>
      </c>
      <c r="F310" s="3">
        <v>2765</v>
      </c>
      <c r="G310" s="13">
        <f>LN(F310/E310)</f>
        <v>-3.9431781732079414</v>
      </c>
      <c r="H310" s="4">
        <v>37.4</v>
      </c>
      <c r="I310" s="4">
        <f>((160*(1/10)*H310)+H310*(1/20)*874.5)*2</f>
        <v>4467.43</v>
      </c>
      <c r="J310" s="12">
        <v>10775</v>
      </c>
      <c r="K310" s="12">
        <v>46523</v>
      </c>
      <c r="L310" s="14">
        <f t="shared" si="5"/>
        <v>37.4</v>
      </c>
    </row>
    <row r="311" spans="1:12" ht="19.5" x14ac:dyDescent="0.4">
      <c r="A311" s="1">
        <v>310</v>
      </c>
      <c r="B311" s="1" t="s">
        <v>27</v>
      </c>
      <c r="C311" s="1">
        <v>2024</v>
      </c>
      <c r="D311" t="s">
        <v>18</v>
      </c>
      <c r="E311" s="3">
        <v>56869</v>
      </c>
      <c r="F311" s="3">
        <v>767</v>
      </c>
      <c r="G311" s="13">
        <f>LN(F311/E311)</f>
        <v>-4.306018854815564</v>
      </c>
      <c r="H311" s="4">
        <v>59.4</v>
      </c>
      <c r="I311" s="4">
        <f>((160*(1/10)*H311)+H311*(1/20)*874.5)*2</f>
        <v>7095.3300000000008</v>
      </c>
      <c r="J311" s="12">
        <v>4168</v>
      </c>
      <c r="K311" s="12">
        <v>19403</v>
      </c>
      <c r="L311" s="14">
        <f t="shared" si="5"/>
        <v>59.4</v>
      </c>
    </row>
    <row r="312" spans="1:12" ht="19.5" x14ac:dyDescent="0.4">
      <c r="A312" s="1">
        <v>311</v>
      </c>
      <c r="B312" s="1" t="s">
        <v>27</v>
      </c>
      <c r="C312" s="1">
        <v>2024</v>
      </c>
      <c r="D312" t="s">
        <v>19</v>
      </c>
      <c r="E312" s="3">
        <v>121056</v>
      </c>
      <c r="F312" s="3">
        <v>2177</v>
      </c>
      <c r="G312" s="13">
        <f>LN(F312/E312)</f>
        <v>-4.0183054661982087</v>
      </c>
      <c r="H312" s="4">
        <v>60.6</v>
      </c>
      <c r="I312" s="4">
        <f>((160*(1/10)*H312)+H312*(1/20)*874.5)*2</f>
        <v>7238.67</v>
      </c>
      <c r="J312" s="12">
        <v>8520</v>
      </c>
      <c r="K312" s="12">
        <v>38101</v>
      </c>
      <c r="L312" s="14">
        <f t="shared" si="5"/>
        <v>60.6</v>
      </c>
    </row>
    <row r="313" spans="1:12" ht="19.5" x14ac:dyDescent="0.4">
      <c r="A313" s="5">
        <v>312</v>
      </c>
      <c r="B313" s="5" t="s">
        <v>27</v>
      </c>
      <c r="C313" s="5">
        <v>2024</v>
      </c>
      <c r="D313" s="6" t="s">
        <v>20</v>
      </c>
      <c r="E313" s="7">
        <v>58171</v>
      </c>
      <c r="F313" s="7">
        <v>502</v>
      </c>
      <c r="G313" s="15">
        <f>LN(F313/E313)</f>
        <v>-4.7525421080572343</v>
      </c>
      <c r="H313" s="8">
        <v>59</v>
      </c>
      <c r="I313" s="8">
        <f>((160*(1/10)*H313)+H313*(1/20)*874.5)*2</f>
        <v>7047.55</v>
      </c>
      <c r="J313" s="10">
        <v>3816</v>
      </c>
      <c r="K313" s="10">
        <v>19636</v>
      </c>
      <c r="L313" s="16">
        <f t="shared" si="5"/>
        <v>59</v>
      </c>
    </row>
    <row r="314" spans="1:12" ht="19.5" x14ac:dyDescent="0.4">
      <c r="A314" s="1">
        <v>313</v>
      </c>
      <c r="B314" s="1" t="s">
        <v>28</v>
      </c>
      <c r="C314" s="1">
        <v>2018</v>
      </c>
      <c r="D314" t="s">
        <v>8</v>
      </c>
      <c r="E314" s="3">
        <v>248680</v>
      </c>
      <c r="F314" s="3">
        <v>2431</v>
      </c>
      <c r="G314" s="13">
        <f>LN(F314/E314)</f>
        <v>-4.6278642340671503</v>
      </c>
      <c r="H314" s="4">
        <v>17.2</v>
      </c>
      <c r="I314" s="4">
        <f>((160*(1/10)*H314)+H314*(1/20)*874.5)*2</f>
        <v>2054.54</v>
      </c>
      <c r="J314" s="12">
        <v>15767</v>
      </c>
      <c r="K314" s="12">
        <v>67093</v>
      </c>
      <c r="L314" s="14">
        <f t="shared" si="5"/>
        <v>17.2</v>
      </c>
    </row>
    <row r="315" spans="1:12" ht="19.5" x14ac:dyDescent="0.4">
      <c r="A315" s="1">
        <v>314</v>
      </c>
      <c r="B315" s="1" t="s">
        <v>28</v>
      </c>
      <c r="C315" s="1">
        <v>2018</v>
      </c>
      <c r="D315" t="s">
        <v>9</v>
      </c>
      <c r="E315" s="3">
        <v>289323</v>
      </c>
      <c r="F315" s="3">
        <v>1261</v>
      </c>
      <c r="G315" s="13">
        <f>LN(F315/E315)</f>
        <v>-5.4356386540859738</v>
      </c>
      <c r="H315" s="4">
        <v>27.4</v>
      </c>
      <c r="I315" s="4">
        <f>((160*(1/10)*H315)+H315*(1/20)*874.5)*2</f>
        <v>3272.9300000000003</v>
      </c>
      <c r="J315" s="12">
        <v>21442</v>
      </c>
      <c r="K315" s="12">
        <v>81653</v>
      </c>
      <c r="L315" s="14">
        <f t="shared" si="5"/>
        <v>27.4</v>
      </c>
    </row>
    <row r="316" spans="1:12" ht="19.5" x14ac:dyDescent="0.4">
      <c r="A316" s="1">
        <v>315</v>
      </c>
      <c r="B316" s="1" t="s">
        <v>28</v>
      </c>
      <c r="C316" s="1">
        <v>2018</v>
      </c>
      <c r="D316" t="s">
        <v>10</v>
      </c>
      <c r="E316" s="3">
        <v>265379</v>
      </c>
      <c r="F316" s="3">
        <v>1141</v>
      </c>
      <c r="G316" s="13">
        <f>LN(F316/E316)</f>
        <v>-5.4492539220397767</v>
      </c>
      <c r="H316" s="4">
        <v>24</v>
      </c>
      <c r="I316" s="4">
        <f>((160*(1/10)*H316)+H316*(1/20)*874.5)*2</f>
        <v>2866.8</v>
      </c>
      <c r="J316" s="12">
        <v>19571</v>
      </c>
      <c r="K316" s="12">
        <v>74654</v>
      </c>
      <c r="L316" s="14">
        <f t="shared" si="5"/>
        <v>24</v>
      </c>
    </row>
    <row r="317" spans="1:12" ht="19.5" x14ac:dyDescent="0.4">
      <c r="A317" s="1">
        <v>316</v>
      </c>
      <c r="B317" s="1" t="s">
        <v>28</v>
      </c>
      <c r="C317" s="1">
        <v>2018</v>
      </c>
      <c r="D317" t="s">
        <v>11</v>
      </c>
      <c r="E317" s="3">
        <v>211835</v>
      </c>
      <c r="F317" s="3">
        <v>305</v>
      </c>
      <c r="G317" s="13">
        <f>LN(F317/E317)</f>
        <v>-6.5432511721257871</v>
      </c>
      <c r="H317" s="4">
        <v>22.2</v>
      </c>
      <c r="I317" s="4">
        <f>((160*(1/10)*H317)+H317*(1/20)*874.5)*2</f>
        <v>2651.79</v>
      </c>
      <c r="J317" s="12">
        <v>15073</v>
      </c>
      <c r="K317" s="12">
        <v>53700</v>
      </c>
      <c r="L317" s="14">
        <f t="shared" si="5"/>
        <v>22.2</v>
      </c>
    </row>
    <row r="318" spans="1:12" ht="19.5" x14ac:dyDescent="0.4">
      <c r="A318" s="1">
        <v>317</v>
      </c>
      <c r="B318" s="1" t="s">
        <v>28</v>
      </c>
      <c r="C318" s="1">
        <v>2018</v>
      </c>
      <c r="D318" t="s">
        <v>12</v>
      </c>
      <c r="E318" s="3">
        <v>125083</v>
      </c>
      <c r="F318" s="3">
        <v>274</v>
      </c>
      <c r="G318" s="13">
        <f>LN(F318/E318)</f>
        <v>-6.1236046895459042</v>
      </c>
      <c r="H318" s="4">
        <v>33.200000000000003</v>
      </c>
      <c r="I318" s="4">
        <f>((160*(1/10)*H318)+H318*(1/20)*874.5)*2</f>
        <v>3965.7400000000002</v>
      </c>
      <c r="J318" s="12">
        <v>7751</v>
      </c>
      <c r="K318" s="12">
        <v>40932</v>
      </c>
      <c r="L318" s="14">
        <f t="shared" si="5"/>
        <v>33.200000000000003</v>
      </c>
    </row>
    <row r="319" spans="1:12" ht="19.5" x14ac:dyDescent="0.4">
      <c r="A319" s="1">
        <v>318</v>
      </c>
      <c r="B319" s="1" t="s">
        <v>28</v>
      </c>
      <c r="C319" s="1">
        <v>2018</v>
      </c>
      <c r="D319" t="s">
        <v>13</v>
      </c>
      <c r="E319" s="3">
        <v>225298</v>
      </c>
      <c r="F319" s="3">
        <v>2349</v>
      </c>
      <c r="G319" s="13">
        <f>LN(F319/E319)</f>
        <v>-4.563434264669203</v>
      </c>
      <c r="H319" s="4">
        <v>18.2</v>
      </c>
      <c r="I319" s="4">
        <f>((160*(1/10)*H319)+H319*(1/20)*874.5)*2</f>
        <v>2173.9900000000002</v>
      </c>
      <c r="J319" s="12">
        <v>15548</v>
      </c>
      <c r="K319" s="12">
        <v>59284</v>
      </c>
      <c r="L319" s="14">
        <f t="shared" si="5"/>
        <v>18.2</v>
      </c>
    </row>
    <row r="320" spans="1:12" ht="19.5" x14ac:dyDescent="0.4">
      <c r="A320" s="1">
        <v>319</v>
      </c>
      <c r="B320" s="1" t="s">
        <v>28</v>
      </c>
      <c r="C320" s="1">
        <v>2018</v>
      </c>
      <c r="D320" t="s">
        <v>14</v>
      </c>
      <c r="E320" s="3">
        <v>225298</v>
      </c>
      <c r="F320" s="3">
        <v>225</v>
      </c>
      <c r="G320" s="13">
        <f>LN(F320/E320)</f>
        <v>-6.9090788471236957</v>
      </c>
      <c r="H320" s="4">
        <v>27.4</v>
      </c>
      <c r="I320" s="4">
        <f>((160*(1/10)*H320)+H320*(1/20)*874.5)*2</f>
        <v>3272.9300000000003</v>
      </c>
      <c r="J320" s="12">
        <v>8519</v>
      </c>
      <c r="K320" s="12">
        <v>35078</v>
      </c>
      <c r="L320" s="14">
        <f t="shared" si="5"/>
        <v>27.4</v>
      </c>
    </row>
    <row r="321" spans="1:12" ht="19.5" x14ac:dyDescent="0.4">
      <c r="A321" s="1">
        <v>320</v>
      </c>
      <c r="B321" s="1" t="s">
        <v>28</v>
      </c>
      <c r="C321" s="1">
        <v>2018</v>
      </c>
      <c r="D321" t="s">
        <v>15</v>
      </c>
      <c r="E321" s="3">
        <v>135777</v>
      </c>
      <c r="F321" s="3">
        <v>26547</v>
      </c>
      <c r="G321" s="13">
        <f>LN(F321/E321)</f>
        <v>-1.6320970871113527</v>
      </c>
      <c r="H321" s="4">
        <v>6</v>
      </c>
      <c r="I321" s="4">
        <f>((160*(1/10)*H321)+H321*(1/20)*874.5)*2</f>
        <v>716.7</v>
      </c>
      <c r="J321" s="12">
        <v>8295</v>
      </c>
      <c r="K321" s="12">
        <v>50017</v>
      </c>
      <c r="L321" s="14">
        <f t="shared" si="5"/>
        <v>6</v>
      </c>
    </row>
    <row r="322" spans="1:12" ht="19.5" x14ac:dyDescent="0.4">
      <c r="A322" s="1">
        <v>321</v>
      </c>
      <c r="B322" s="1" t="s">
        <v>28</v>
      </c>
      <c r="C322" s="1">
        <v>2018</v>
      </c>
      <c r="D322" t="s">
        <v>16</v>
      </c>
      <c r="E322" s="3">
        <v>217040</v>
      </c>
      <c r="F322" s="3">
        <v>854</v>
      </c>
      <c r="G322" s="13">
        <f>LN(F322/E322)</f>
        <v>-5.5379057535442433</v>
      </c>
      <c r="H322" s="4">
        <v>24.2</v>
      </c>
      <c r="I322" s="4">
        <f>((160*(1/10)*H322)+H322*(1/20)*874.5)*2</f>
        <v>2890.69</v>
      </c>
      <c r="J322" s="12">
        <v>16187</v>
      </c>
      <c r="K322" s="12">
        <v>63371</v>
      </c>
      <c r="L322" s="14">
        <f t="shared" si="5"/>
        <v>24.2</v>
      </c>
    </row>
    <row r="323" spans="1:12" ht="19.5" x14ac:dyDescent="0.4">
      <c r="A323" s="1">
        <v>322</v>
      </c>
      <c r="B323" s="1" t="s">
        <v>28</v>
      </c>
      <c r="C323" s="1">
        <v>2018</v>
      </c>
      <c r="D323" t="s">
        <v>17</v>
      </c>
      <c r="E323" s="3">
        <v>142625</v>
      </c>
      <c r="F323" s="3">
        <v>107</v>
      </c>
      <c r="G323" s="13">
        <f>LN(F323/E323)</f>
        <v>-7.1951452527024706</v>
      </c>
      <c r="H323" s="4">
        <v>45.4</v>
      </c>
      <c r="I323" s="4">
        <f>((160*(1/10)*H323)+H323*(1/20)*874.5)*2</f>
        <v>5423.03</v>
      </c>
      <c r="J323" s="12">
        <v>10775</v>
      </c>
      <c r="K323" s="12">
        <v>46523</v>
      </c>
      <c r="L323" s="14">
        <f t="shared" si="5"/>
        <v>45.4</v>
      </c>
    </row>
    <row r="324" spans="1:12" ht="19.5" x14ac:dyDescent="0.4">
      <c r="A324" s="1">
        <v>323</v>
      </c>
      <c r="B324" s="1" t="s">
        <v>28</v>
      </c>
      <c r="C324" s="1">
        <v>2018</v>
      </c>
      <c r="D324" t="s">
        <v>18</v>
      </c>
      <c r="E324" s="3">
        <v>56869</v>
      </c>
      <c r="F324" s="3">
        <v>25</v>
      </c>
      <c r="G324" s="13">
        <f>LN(F324/E324)</f>
        <v>-7.7296298313146199</v>
      </c>
      <c r="H324" s="4">
        <v>49.4</v>
      </c>
      <c r="I324" s="4">
        <f>((160*(1/10)*H324)+H324*(1/20)*874.5)*2</f>
        <v>5900.8300000000008</v>
      </c>
      <c r="J324" s="12">
        <v>4168</v>
      </c>
      <c r="K324" s="12">
        <v>19403</v>
      </c>
      <c r="L324" s="14">
        <f t="shared" si="5"/>
        <v>49.4</v>
      </c>
    </row>
    <row r="325" spans="1:12" ht="19.5" x14ac:dyDescent="0.4">
      <c r="A325" s="1">
        <v>324</v>
      </c>
      <c r="B325" s="1" t="s">
        <v>28</v>
      </c>
      <c r="C325" s="1">
        <v>2018</v>
      </c>
      <c r="D325" t="s">
        <v>19</v>
      </c>
      <c r="E325" s="3">
        <v>121056</v>
      </c>
      <c r="F325" s="3">
        <v>344</v>
      </c>
      <c r="G325" s="13">
        <f>LN(F325/E325)</f>
        <v>-5.8633668700593571</v>
      </c>
      <c r="H325" s="4">
        <v>52.2</v>
      </c>
      <c r="I325" s="4">
        <f>((160*(1/10)*H325)+H325*(1/20)*874.5)*2</f>
        <v>6235.2900000000009</v>
      </c>
      <c r="J325" s="12">
        <v>8520</v>
      </c>
      <c r="K325" s="12">
        <v>38101</v>
      </c>
      <c r="L325" s="14">
        <f t="shared" si="5"/>
        <v>52.2</v>
      </c>
    </row>
    <row r="326" spans="1:12" ht="19.5" x14ac:dyDescent="0.4">
      <c r="A326" s="5">
        <v>325</v>
      </c>
      <c r="B326" s="5" t="s">
        <v>28</v>
      </c>
      <c r="C326" s="5">
        <v>2018</v>
      </c>
      <c r="D326" s="6" t="s">
        <v>20</v>
      </c>
      <c r="E326" s="7">
        <v>58171</v>
      </c>
      <c r="F326" s="7">
        <v>0</v>
      </c>
      <c r="G326" s="15"/>
      <c r="H326" s="8">
        <v>52</v>
      </c>
      <c r="I326" s="8">
        <f>((160*(1/10)*H326)+H326*(1/20)*874.5)*2</f>
        <v>6211.4000000000005</v>
      </c>
      <c r="J326" s="10">
        <v>3816</v>
      </c>
      <c r="K326" s="10">
        <v>19636</v>
      </c>
      <c r="L326" s="16"/>
    </row>
    <row r="327" spans="1:12" ht="19.5" x14ac:dyDescent="0.4">
      <c r="A327" s="1">
        <v>326</v>
      </c>
      <c r="B327" s="1" t="s">
        <v>28</v>
      </c>
      <c r="C327" s="1">
        <v>2019</v>
      </c>
      <c r="D327" t="s">
        <v>8</v>
      </c>
      <c r="E327" s="3">
        <v>248680</v>
      </c>
      <c r="F327" s="3">
        <v>1774</v>
      </c>
      <c r="G327" s="13">
        <f>LN(F327/E327)</f>
        <v>-4.9429300455137488</v>
      </c>
      <c r="H327" s="4">
        <v>17.2</v>
      </c>
      <c r="I327" s="4">
        <f>((160*(1/10)*H327)+H327*(1/20)*874.5)*2</f>
        <v>2054.54</v>
      </c>
      <c r="J327" s="12">
        <v>15767</v>
      </c>
      <c r="K327" s="12">
        <v>67093</v>
      </c>
      <c r="L327" s="14">
        <f t="shared" si="5"/>
        <v>17.2</v>
      </c>
    </row>
    <row r="328" spans="1:12" ht="19.5" x14ac:dyDescent="0.4">
      <c r="A328" s="1">
        <v>327</v>
      </c>
      <c r="B328" s="1" t="s">
        <v>28</v>
      </c>
      <c r="C328" s="1">
        <v>2019</v>
      </c>
      <c r="D328" t="s">
        <v>9</v>
      </c>
      <c r="E328" s="3">
        <v>289323</v>
      </c>
      <c r="F328" s="3">
        <v>1005</v>
      </c>
      <c r="G328" s="13">
        <f>LN(F328/E328)</f>
        <v>-5.6625561695577167</v>
      </c>
      <c r="H328" s="4">
        <v>27.4</v>
      </c>
      <c r="I328" s="4">
        <f>((160*(1/10)*H328)+H328*(1/20)*874.5)*2</f>
        <v>3272.9300000000003</v>
      </c>
      <c r="J328" s="12">
        <v>21442</v>
      </c>
      <c r="K328" s="12">
        <v>81653</v>
      </c>
      <c r="L328" s="14">
        <f t="shared" si="5"/>
        <v>27.4</v>
      </c>
    </row>
    <row r="329" spans="1:12" ht="19.5" x14ac:dyDescent="0.4">
      <c r="A329" s="1">
        <v>328</v>
      </c>
      <c r="B329" s="1" t="s">
        <v>28</v>
      </c>
      <c r="C329" s="1">
        <v>2019</v>
      </c>
      <c r="D329" t="s">
        <v>10</v>
      </c>
      <c r="E329" s="3">
        <v>265379</v>
      </c>
      <c r="F329" s="3">
        <v>1185</v>
      </c>
      <c r="G329" s="13">
        <f>LN(F329/E329)</f>
        <v>-5.4114162183326204</v>
      </c>
      <c r="H329" s="4">
        <v>24</v>
      </c>
      <c r="I329" s="4">
        <f>((160*(1/10)*H329)+H329*(1/20)*874.5)*2</f>
        <v>2866.8</v>
      </c>
      <c r="J329" s="12">
        <v>19571</v>
      </c>
      <c r="K329" s="12">
        <v>74654</v>
      </c>
      <c r="L329" s="14">
        <f t="shared" si="5"/>
        <v>24</v>
      </c>
    </row>
    <row r="330" spans="1:12" ht="19.5" x14ac:dyDescent="0.4">
      <c r="A330" s="1">
        <v>329</v>
      </c>
      <c r="B330" s="1" t="s">
        <v>28</v>
      </c>
      <c r="C330" s="1">
        <v>2019</v>
      </c>
      <c r="D330" t="s">
        <v>11</v>
      </c>
      <c r="E330" s="3">
        <v>211835</v>
      </c>
      <c r="F330" s="3">
        <v>642</v>
      </c>
      <c r="G330" s="13">
        <f>LN(F330/E330)</f>
        <v>-5.7989746450432378</v>
      </c>
      <c r="H330" s="4">
        <v>22.2</v>
      </c>
      <c r="I330" s="4">
        <f>((160*(1/10)*H330)+H330*(1/20)*874.5)*2</f>
        <v>2651.79</v>
      </c>
      <c r="J330" s="12">
        <v>15073</v>
      </c>
      <c r="K330" s="12">
        <v>53700</v>
      </c>
      <c r="L330" s="14">
        <f t="shared" si="5"/>
        <v>22.2</v>
      </c>
    </row>
    <row r="331" spans="1:12" ht="19.5" x14ac:dyDescent="0.4">
      <c r="A331" s="1">
        <v>330</v>
      </c>
      <c r="B331" s="1" t="s">
        <v>28</v>
      </c>
      <c r="C331" s="1">
        <v>2019</v>
      </c>
      <c r="D331" t="s">
        <v>12</v>
      </c>
      <c r="E331" s="3">
        <v>125083</v>
      </c>
      <c r="F331" s="3">
        <v>124</v>
      </c>
      <c r="G331" s="13">
        <f>LN(F331/E331)</f>
        <v>-6.9164512303289376</v>
      </c>
      <c r="H331" s="4">
        <v>33.200000000000003</v>
      </c>
      <c r="I331" s="4">
        <f>((160*(1/10)*H331)+H331*(1/20)*874.5)*2</f>
        <v>3965.7400000000002</v>
      </c>
      <c r="J331" s="12">
        <v>7751</v>
      </c>
      <c r="K331" s="12">
        <v>40932</v>
      </c>
      <c r="L331" s="14">
        <f t="shared" si="5"/>
        <v>33.200000000000003</v>
      </c>
    </row>
    <row r="332" spans="1:12" ht="19.5" x14ac:dyDescent="0.4">
      <c r="A332" s="1">
        <v>331</v>
      </c>
      <c r="B332" s="1" t="s">
        <v>28</v>
      </c>
      <c r="C332" s="1">
        <v>2019</v>
      </c>
      <c r="D332" t="s">
        <v>13</v>
      </c>
      <c r="E332" s="3">
        <v>225298</v>
      </c>
      <c r="F332" s="3">
        <v>1812</v>
      </c>
      <c r="G332" s="13">
        <f>LN(F332/E332)</f>
        <v>-4.8229927627251916</v>
      </c>
      <c r="H332" s="4">
        <v>18.2</v>
      </c>
      <c r="I332" s="4">
        <f>((160*(1/10)*H332)+H332*(1/20)*874.5)*2</f>
        <v>2173.9900000000002</v>
      </c>
      <c r="J332" s="12">
        <v>15548</v>
      </c>
      <c r="K332" s="12">
        <v>59284</v>
      </c>
      <c r="L332" s="14">
        <f t="shared" si="5"/>
        <v>18.2</v>
      </c>
    </row>
    <row r="333" spans="1:12" ht="19.5" x14ac:dyDescent="0.4">
      <c r="A333" s="1">
        <v>332</v>
      </c>
      <c r="B333" s="1" t="s">
        <v>28</v>
      </c>
      <c r="C333" s="1">
        <v>2019</v>
      </c>
      <c r="D333" t="s">
        <v>14</v>
      </c>
      <c r="E333" s="3">
        <v>225298</v>
      </c>
      <c r="F333" s="3">
        <v>277</v>
      </c>
      <c r="G333" s="13">
        <f>LN(F333/E333)</f>
        <v>-6.7011617431407773</v>
      </c>
      <c r="H333" s="4">
        <v>27.4</v>
      </c>
      <c r="I333" s="4">
        <f>((160*(1/10)*H333)+H333*(1/20)*874.5)*2</f>
        <v>3272.9300000000003</v>
      </c>
      <c r="J333" s="12">
        <v>8519</v>
      </c>
      <c r="K333" s="12">
        <v>35078</v>
      </c>
      <c r="L333" s="14">
        <f t="shared" si="5"/>
        <v>27.4</v>
      </c>
    </row>
    <row r="334" spans="1:12" ht="19.5" x14ac:dyDescent="0.4">
      <c r="A334" s="1">
        <v>333</v>
      </c>
      <c r="B334" s="1" t="s">
        <v>28</v>
      </c>
      <c r="C334" s="1">
        <v>2019</v>
      </c>
      <c r="D334" t="s">
        <v>15</v>
      </c>
      <c r="E334" s="3">
        <v>135777</v>
      </c>
      <c r="F334" s="3">
        <v>31764</v>
      </c>
      <c r="G334" s="13">
        <f>LN(F334/E334)</f>
        <v>-1.4526802610317109</v>
      </c>
      <c r="H334" s="4">
        <v>6</v>
      </c>
      <c r="I334" s="4">
        <f>((160*(1/10)*H334)+H334*(1/20)*874.5)*2</f>
        <v>716.7</v>
      </c>
      <c r="J334" s="12">
        <v>8295</v>
      </c>
      <c r="K334" s="12">
        <v>50017</v>
      </c>
      <c r="L334" s="14">
        <f t="shared" si="5"/>
        <v>6</v>
      </c>
    </row>
    <row r="335" spans="1:12" ht="19.5" x14ac:dyDescent="0.4">
      <c r="A335" s="1">
        <v>334</v>
      </c>
      <c r="B335" s="1" t="s">
        <v>28</v>
      </c>
      <c r="C335" s="1">
        <v>2019</v>
      </c>
      <c r="D335" t="s">
        <v>16</v>
      </c>
      <c r="E335" s="3">
        <v>217040</v>
      </c>
      <c r="F335" s="3">
        <v>1254</v>
      </c>
      <c r="G335" s="13">
        <f>LN(F335/E335)</f>
        <v>-5.1537432261399472</v>
      </c>
      <c r="H335" s="4">
        <v>24.2</v>
      </c>
      <c r="I335" s="4">
        <f>((160*(1/10)*H335)+H335*(1/20)*874.5)*2</f>
        <v>2890.69</v>
      </c>
      <c r="J335" s="12">
        <v>16187</v>
      </c>
      <c r="K335" s="12">
        <v>63371</v>
      </c>
      <c r="L335" s="14">
        <f t="shared" si="5"/>
        <v>24.2</v>
      </c>
    </row>
    <row r="336" spans="1:12" ht="19.5" x14ac:dyDescent="0.4">
      <c r="A336" s="1">
        <v>335</v>
      </c>
      <c r="B336" s="1" t="s">
        <v>28</v>
      </c>
      <c r="C336" s="1">
        <v>2019</v>
      </c>
      <c r="D336" t="s">
        <v>17</v>
      </c>
      <c r="E336" s="3">
        <v>142625</v>
      </c>
      <c r="F336" s="3">
        <v>748</v>
      </c>
      <c r="G336" s="13">
        <f>LN(F336/E336)</f>
        <v>-5.2505711091898997</v>
      </c>
      <c r="H336" s="4">
        <v>45.4</v>
      </c>
      <c r="I336" s="4">
        <f>((160*(1/10)*H336)+H336*(1/20)*874.5)*2</f>
        <v>5423.03</v>
      </c>
      <c r="J336" s="12">
        <v>10775</v>
      </c>
      <c r="K336" s="12">
        <v>46523</v>
      </c>
      <c r="L336" s="14">
        <f t="shared" si="5"/>
        <v>45.4</v>
      </c>
    </row>
    <row r="337" spans="1:12" ht="19.5" x14ac:dyDescent="0.4">
      <c r="A337" s="1">
        <v>336</v>
      </c>
      <c r="B337" s="1" t="s">
        <v>28</v>
      </c>
      <c r="C337" s="1">
        <v>2019</v>
      </c>
      <c r="D337" t="s">
        <v>18</v>
      </c>
      <c r="E337" s="3">
        <v>56869</v>
      </c>
      <c r="F337" s="3">
        <v>67</v>
      </c>
      <c r="G337" s="13">
        <f>LN(F337/E337)</f>
        <v>-6.7438130367918543</v>
      </c>
      <c r="H337" s="4">
        <v>49.4</v>
      </c>
      <c r="I337" s="4">
        <f>((160*(1/10)*H337)+H337*(1/20)*874.5)*2</f>
        <v>5900.8300000000008</v>
      </c>
      <c r="J337" s="12">
        <v>4168</v>
      </c>
      <c r="K337" s="12">
        <v>19403</v>
      </c>
      <c r="L337" s="14">
        <f t="shared" si="5"/>
        <v>49.4</v>
      </c>
    </row>
    <row r="338" spans="1:12" ht="19.5" x14ac:dyDescent="0.4">
      <c r="A338" s="1">
        <v>337</v>
      </c>
      <c r="B338" s="1" t="s">
        <v>28</v>
      </c>
      <c r="C338" s="1">
        <v>2019</v>
      </c>
      <c r="D338" t="s">
        <v>19</v>
      </c>
      <c r="E338" s="3">
        <v>121056</v>
      </c>
      <c r="F338" s="3">
        <v>150</v>
      </c>
      <c r="G338" s="13">
        <f>LN(F338/E338)</f>
        <v>-6.6933732333364997</v>
      </c>
      <c r="H338" s="4">
        <v>52.2</v>
      </c>
      <c r="I338" s="4">
        <f>((160*(1/10)*H338)+H338*(1/20)*874.5)*2</f>
        <v>6235.2900000000009</v>
      </c>
      <c r="J338" s="12">
        <v>8520</v>
      </c>
      <c r="K338" s="12">
        <v>38101</v>
      </c>
      <c r="L338" s="14">
        <f t="shared" si="5"/>
        <v>52.2</v>
      </c>
    </row>
    <row r="339" spans="1:12" ht="19.5" x14ac:dyDescent="0.4">
      <c r="A339" s="5">
        <v>338</v>
      </c>
      <c r="B339" s="5" t="s">
        <v>28</v>
      </c>
      <c r="C339" s="5">
        <v>2019</v>
      </c>
      <c r="D339" s="6" t="s">
        <v>20</v>
      </c>
      <c r="E339" s="7">
        <v>58171</v>
      </c>
      <c r="F339" s="7">
        <v>399</v>
      </c>
      <c r="G339" s="15">
        <f>LN(F339/E339)</f>
        <v>-4.9821808108591004</v>
      </c>
      <c r="H339" s="8">
        <v>52</v>
      </c>
      <c r="I339" s="8">
        <f>((160*(1/10)*H339)+H339*(1/20)*874.5)*2</f>
        <v>6211.4000000000005</v>
      </c>
      <c r="J339" s="10">
        <v>3816</v>
      </c>
      <c r="K339" s="10">
        <v>19636</v>
      </c>
      <c r="L339" s="16">
        <f t="shared" si="5"/>
        <v>52</v>
      </c>
    </row>
    <row r="340" spans="1:12" ht="19.5" x14ac:dyDescent="0.4">
      <c r="A340" s="1">
        <v>339</v>
      </c>
      <c r="B340" s="1" t="s">
        <v>28</v>
      </c>
      <c r="C340" s="1">
        <v>2023</v>
      </c>
      <c r="D340" t="s">
        <v>8</v>
      </c>
      <c r="E340" s="3">
        <v>248680</v>
      </c>
      <c r="F340" s="3">
        <v>1075</v>
      </c>
      <c r="G340" s="13">
        <f>LN(F340/E340)</f>
        <v>-5.4438462678215105</v>
      </c>
      <c r="H340" s="4">
        <v>17.2</v>
      </c>
      <c r="I340" s="4">
        <f>((160*(1/10)*H340)+H340*(1/20)*874.5)*2</f>
        <v>2054.54</v>
      </c>
      <c r="J340" s="12">
        <v>15767</v>
      </c>
      <c r="K340" s="12">
        <v>67093</v>
      </c>
      <c r="L340" s="14">
        <f t="shared" si="5"/>
        <v>17.2</v>
      </c>
    </row>
    <row r="341" spans="1:12" ht="19.5" x14ac:dyDescent="0.4">
      <c r="A341" s="1">
        <v>340</v>
      </c>
      <c r="B341" s="1" t="s">
        <v>28</v>
      </c>
      <c r="C341" s="1">
        <v>2023</v>
      </c>
      <c r="D341" t="s">
        <v>9</v>
      </c>
      <c r="E341" s="3">
        <v>289323</v>
      </c>
      <c r="F341" s="3">
        <v>683</v>
      </c>
      <c r="G341" s="13">
        <f>LN(F341/E341)</f>
        <v>-6.0488041304801028</v>
      </c>
      <c r="H341" s="4">
        <v>27.4</v>
      </c>
      <c r="I341" s="4">
        <f>((160*(1/10)*H341)+H341*(1/20)*874.5)*2</f>
        <v>3272.9300000000003</v>
      </c>
      <c r="J341" s="12">
        <v>21442</v>
      </c>
      <c r="K341" s="12">
        <v>81653</v>
      </c>
      <c r="L341" s="14">
        <f t="shared" si="5"/>
        <v>27.4</v>
      </c>
    </row>
    <row r="342" spans="1:12" ht="19.5" x14ac:dyDescent="0.4">
      <c r="A342" s="1">
        <v>341</v>
      </c>
      <c r="B342" s="1" t="s">
        <v>28</v>
      </c>
      <c r="C342" s="1">
        <v>2023</v>
      </c>
      <c r="D342" t="s">
        <v>10</v>
      </c>
      <c r="E342" s="3">
        <v>265379</v>
      </c>
      <c r="F342" s="3">
        <v>421</v>
      </c>
      <c r="G342" s="13">
        <f>LN(F342/E342)</f>
        <v>-6.4462814382194704</v>
      </c>
      <c r="H342" s="4">
        <v>24</v>
      </c>
      <c r="I342" s="4">
        <f>((160*(1/10)*H342)+H342*(1/20)*874.5)*2</f>
        <v>2866.8</v>
      </c>
      <c r="J342" s="12">
        <v>19571</v>
      </c>
      <c r="K342" s="12">
        <v>74654</v>
      </c>
      <c r="L342" s="14">
        <f t="shared" si="5"/>
        <v>24</v>
      </c>
    </row>
    <row r="343" spans="1:12" ht="19.5" x14ac:dyDescent="0.4">
      <c r="A343" s="1">
        <v>342</v>
      </c>
      <c r="B343" s="1" t="s">
        <v>28</v>
      </c>
      <c r="C343" s="1">
        <v>2023</v>
      </c>
      <c r="D343" t="s">
        <v>11</v>
      </c>
      <c r="E343" s="3">
        <v>211835</v>
      </c>
      <c r="F343" s="3">
        <v>829</v>
      </c>
      <c r="G343" s="13">
        <f>LN(F343/E343)</f>
        <v>-5.5433427935979038</v>
      </c>
      <c r="H343" s="4">
        <v>22.2</v>
      </c>
      <c r="I343" s="4">
        <f>((160*(1/10)*H343)+H343*(1/20)*874.5)*2</f>
        <v>2651.79</v>
      </c>
      <c r="J343" s="12">
        <v>15073</v>
      </c>
      <c r="K343" s="12">
        <v>53700</v>
      </c>
      <c r="L343" s="14">
        <f t="shared" si="5"/>
        <v>22.2</v>
      </c>
    </row>
    <row r="344" spans="1:12" ht="19.5" x14ac:dyDescent="0.4">
      <c r="A344" s="1">
        <v>343</v>
      </c>
      <c r="B344" s="1" t="s">
        <v>28</v>
      </c>
      <c r="C344" s="1">
        <v>2023</v>
      </c>
      <c r="D344" t="s">
        <v>12</v>
      </c>
      <c r="E344" s="3">
        <v>125083</v>
      </c>
      <c r="F344" s="3">
        <v>155</v>
      </c>
      <c r="G344" s="13">
        <f>LN(F344/E344)</f>
        <v>-6.6933076790147279</v>
      </c>
      <c r="H344" s="4">
        <v>33.200000000000003</v>
      </c>
      <c r="I344" s="4">
        <f>((160*(1/10)*H344)+H344*(1/20)*874.5)*2</f>
        <v>3965.7400000000002</v>
      </c>
      <c r="J344" s="12">
        <v>7751</v>
      </c>
      <c r="K344" s="12">
        <v>40932</v>
      </c>
      <c r="L344" s="14">
        <f t="shared" si="5"/>
        <v>33.200000000000003</v>
      </c>
    </row>
    <row r="345" spans="1:12" ht="19.5" x14ac:dyDescent="0.4">
      <c r="A345" s="1">
        <v>344</v>
      </c>
      <c r="B345" s="1" t="s">
        <v>28</v>
      </c>
      <c r="C345" s="1">
        <v>2023</v>
      </c>
      <c r="D345" t="s">
        <v>13</v>
      </c>
      <c r="E345" s="3">
        <v>225298</v>
      </c>
      <c r="F345" s="3">
        <v>1152</v>
      </c>
      <c r="G345" s="13">
        <f>LN(F345/E345)</f>
        <v>-5.2759244080722798</v>
      </c>
      <c r="H345" s="4">
        <v>18.2</v>
      </c>
      <c r="I345" s="4">
        <f>((160*(1/10)*H345)+H345*(1/20)*874.5)*2</f>
        <v>2173.9900000000002</v>
      </c>
      <c r="J345" s="12">
        <v>15548</v>
      </c>
      <c r="K345" s="12">
        <v>59284</v>
      </c>
      <c r="L345" s="14">
        <f t="shared" si="5"/>
        <v>18.2</v>
      </c>
    </row>
    <row r="346" spans="1:12" ht="19.5" x14ac:dyDescent="0.4">
      <c r="A346" s="1">
        <v>345</v>
      </c>
      <c r="B346" s="1" t="s">
        <v>28</v>
      </c>
      <c r="C346" s="1">
        <v>2023</v>
      </c>
      <c r="D346" t="s">
        <v>14</v>
      </c>
      <c r="E346" s="3">
        <v>225298</v>
      </c>
      <c r="F346" s="3">
        <v>184</v>
      </c>
      <c r="G346" s="13">
        <f>LN(F346/E346)</f>
        <v>-7.1102434917191308</v>
      </c>
      <c r="H346" s="4">
        <v>27.4</v>
      </c>
      <c r="I346" s="4">
        <f>((160*(1/10)*H346)+H346*(1/20)*874.5)*2</f>
        <v>3272.9300000000003</v>
      </c>
      <c r="J346" s="12">
        <v>8519</v>
      </c>
      <c r="K346" s="12">
        <v>35078</v>
      </c>
      <c r="L346" s="14">
        <f t="shared" si="5"/>
        <v>27.4</v>
      </c>
    </row>
    <row r="347" spans="1:12" ht="19.5" x14ac:dyDescent="0.4">
      <c r="A347" s="1">
        <v>346</v>
      </c>
      <c r="B347" s="1" t="s">
        <v>28</v>
      </c>
      <c r="C347" s="1">
        <v>2023</v>
      </c>
      <c r="D347" t="s">
        <v>15</v>
      </c>
      <c r="E347" s="3">
        <v>135777</v>
      </c>
      <c r="F347" s="3">
        <v>17718</v>
      </c>
      <c r="G347" s="13">
        <f>LN(F347/E347)</f>
        <v>-2.0364327620748348</v>
      </c>
      <c r="H347" s="4">
        <v>6</v>
      </c>
      <c r="I347" s="4">
        <f>((160*(1/10)*H347)+H347*(1/20)*874.5)*2</f>
        <v>716.7</v>
      </c>
      <c r="J347" s="12">
        <v>8295</v>
      </c>
      <c r="K347" s="12">
        <v>50017</v>
      </c>
      <c r="L347" s="14">
        <f t="shared" si="5"/>
        <v>6</v>
      </c>
    </row>
    <row r="348" spans="1:12" ht="19.5" x14ac:dyDescent="0.4">
      <c r="A348" s="1">
        <v>347</v>
      </c>
      <c r="B348" s="1" t="s">
        <v>28</v>
      </c>
      <c r="C348" s="1">
        <v>2023</v>
      </c>
      <c r="D348" t="s">
        <v>16</v>
      </c>
      <c r="E348" s="3">
        <v>217040</v>
      </c>
      <c r="F348" s="3">
        <v>889</v>
      </c>
      <c r="G348" s="13">
        <f>LN(F348/E348)</f>
        <v>-5.4977397118189089</v>
      </c>
      <c r="H348" s="4">
        <v>24.2</v>
      </c>
      <c r="I348" s="4">
        <f>((160*(1/10)*H348)+H348*(1/20)*874.5)*2</f>
        <v>2890.69</v>
      </c>
      <c r="J348" s="12">
        <v>16187</v>
      </c>
      <c r="K348" s="12">
        <v>63371</v>
      </c>
      <c r="L348" s="14">
        <f t="shared" si="5"/>
        <v>24.2</v>
      </c>
    </row>
    <row r="349" spans="1:12" ht="19.5" x14ac:dyDescent="0.4">
      <c r="A349" s="1">
        <v>348</v>
      </c>
      <c r="B349" s="1" t="s">
        <v>28</v>
      </c>
      <c r="C349" s="1">
        <v>2023</v>
      </c>
      <c r="D349" t="s">
        <v>17</v>
      </c>
      <c r="E349" s="3">
        <v>142625</v>
      </c>
      <c r="F349" s="3">
        <v>65</v>
      </c>
      <c r="G349" s="13">
        <f>LN(F349/E349)</f>
        <v>-7.6935868172687396</v>
      </c>
      <c r="H349" s="4">
        <v>45.4</v>
      </c>
      <c r="I349" s="4">
        <f>((160*(1/10)*H349)+H349*(1/20)*874.5)*2</f>
        <v>5423.03</v>
      </c>
      <c r="J349" s="12">
        <v>10775</v>
      </c>
      <c r="K349" s="12">
        <v>46523</v>
      </c>
      <c r="L349" s="14">
        <f t="shared" si="5"/>
        <v>45.4</v>
      </c>
    </row>
    <row r="350" spans="1:12" ht="19.5" x14ac:dyDescent="0.4">
      <c r="A350" s="1">
        <v>349</v>
      </c>
      <c r="B350" s="1" t="s">
        <v>28</v>
      </c>
      <c r="C350" s="1">
        <v>2023</v>
      </c>
      <c r="D350" t="s">
        <v>18</v>
      </c>
      <c r="E350" s="3">
        <v>56869</v>
      </c>
      <c r="F350" s="3">
        <v>114</v>
      </c>
      <c r="G350" s="13">
        <f>LN(F350/E350)</f>
        <v>-6.2123072077883243</v>
      </c>
      <c r="H350" s="4">
        <v>49.4</v>
      </c>
      <c r="I350" s="4">
        <f>((160*(1/10)*H350)+H350*(1/20)*874.5)*2</f>
        <v>5900.8300000000008</v>
      </c>
      <c r="J350" s="12">
        <v>4168</v>
      </c>
      <c r="K350" s="12">
        <v>19403</v>
      </c>
      <c r="L350" s="14">
        <f t="shared" ref="L350:L413" si="6">H350</f>
        <v>49.4</v>
      </c>
    </row>
    <row r="351" spans="1:12" ht="19.5" x14ac:dyDescent="0.4">
      <c r="A351" s="1">
        <v>350</v>
      </c>
      <c r="B351" s="1" t="s">
        <v>28</v>
      </c>
      <c r="C351" s="1">
        <v>2023</v>
      </c>
      <c r="D351" t="s">
        <v>19</v>
      </c>
      <c r="E351" s="3">
        <v>121056</v>
      </c>
      <c r="F351" s="3">
        <v>135</v>
      </c>
      <c r="G351" s="13">
        <f>LN(F351/E351)</f>
        <v>-6.7987337489943265</v>
      </c>
      <c r="H351" s="4">
        <v>52.2</v>
      </c>
      <c r="I351" s="4">
        <f>((160*(1/10)*H351)+H351*(1/20)*874.5)*2</f>
        <v>6235.2900000000009</v>
      </c>
      <c r="J351" s="12">
        <v>8520</v>
      </c>
      <c r="K351" s="12">
        <v>38101</v>
      </c>
      <c r="L351" s="14">
        <f t="shared" si="6"/>
        <v>52.2</v>
      </c>
    </row>
    <row r="352" spans="1:12" ht="19.5" x14ac:dyDescent="0.4">
      <c r="A352" s="5">
        <v>351</v>
      </c>
      <c r="B352" s="5" t="s">
        <v>28</v>
      </c>
      <c r="C352" s="5">
        <v>2023</v>
      </c>
      <c r="D352" s="6" t="s">
        <v>20</v>
      </c>
      <c r="E352" s="7">
        <v>58171</v>
      </c>
      <c r="F352" s="7">
        <v>42</v>
      </c>
      <c r="G352" s="15">
        <f>LN(F352/E352)</f>
        <v>-7.2334726094655952</v>
      </c>
      <c r="H352" s="8">
        <v>52</v>
      </c>
      <c r="I352" s="8">
        <f>((160*(1/10)*H352)+H352*(1/20)*874.5)*2</f>
        <v>6211.4000000000005</v>
      </c>
      <c r="J352" s="10">
        <v>3816</v>
      </c>
      <c r="K352" s="10">
        <v>19636</v>
      </c>
      <c r="L352" s="16">
        <f t="shared" si="6"/>
        <v>52</v>
      </c>
    </row>
    <row r="353" spans="1:12" ht="19.5" x14ac:dyDescent="0.4">
      <c r="A353" s="1">
        <v>352</v>
      </c>
      <c r="B353" s="1" t="s">
        <v>28</v>
      </c>
      <c r="C353" s="1">
        <v>2024</v>
      </c>
      <c r="D353" t="s">
        <v>8</v>
      </c>
      <c r="E353" s="3">
        <v>248680</v>
      </c>
      <c r="F353" s="3">
        <v>929</v>
      </c>
      <c r="G353" s="13">
        <f>LN(F353/E353)</f>
        <v>-5.5898134695694353</v>
      </c>
      <c r="H353" s="4">
        <v>17.2</v>
      </c>
      <c r="I353" s="4">
        <f>((160*(1/10)*H353)+H353*(1/20)*874.5)*2</f>
        <v>2054.54</v>
      </c>
      <c r="J353" s="12">
        <v>15767</v>
      </c>
      <c r="K353" s="12">
        <v>67093</v>
      </c>
      <c r="L353" s="14">
        <f t="shared" si="6"/>
        <v>17.2</v>
      </c>
    </row>
    <row r="354" spans="1:12" ht="19.5" x14ac:dyDescent="0.4">
      <c r="A354" s="1">
        <v>353</v>
      </c>
      <c r="B354" s="1" t="s">
        <v>28</v>
      </c>
      <c r="C354" s="1">
        <v>2024</v>
      </c>
      <c r="D354" t="s">
        <v>9</v>
      </c>
      <c r="E354" s="3">
        <v>289323</v>
      </c>
      <c r="F354" s="3">
        <v>500</v>
      </c>
      <c r="G354" s="13">
        <f>LN(F354/E354)</f>
        <v>-6.3606908916287015</v>
      </c>
      <c r="H354" s="4">
        <v>27.4</v>
      </c>
      <c r="I354" s="4">
        <f>((160*(1/10)*H354)+H354*(1/20)*874.5)*2</f>
        <v>3272.9300000000003</v>
      </c>
      <c r="J354" s="12">
        <v>21442</v>
      </c>
      <c r="K354" s="12">
        <v>81653</v>
      </c>
      <c r="L354" s="14">
        <f t="shared" si="6"/>
        <v>27.4</v>
      </c>
    </row>
    <row r="355" spans="1:12" ht="19.5" x14ac:dyDescent="0.4">
      <c r="A355" s="1">
        <v>354</v>
      </c>
      <c r="B355" s="1" t="s">
        <v>28</v>
      </c>
      <c r="C355" s="1">
        <v>2024</v>
      </c>
      <c r="D355" t="s">
        <v>10</v>
      </c>
      <c r="E355" s="3">
        <v>265379</v>
      </c>
      <c r="F355" s="3">
        <v>500</v>
      </c>
      <c r="G355" s="13">
        <f>LN(F355/E355)</f>
        <v>-6.2743061734796601</v>
      </c>
      <c r="H355" s="4">
        <v>24</v>
      </c>
      <c r="I355" s="4">
        <f>((160*(1/10)*H355)+H355*(1/20)*874.5)*2</f>
        <v>2866.8</v>
      </c>
      <c r="J355" s="12">
        <v>19571</v>
      </c>
      <c r="K355" s="12">
        <v>74654</v>
      </c>
      <c r="L355" s="14">
        <f t="shared" si="6"/>
        <v>24</v>
      </c>
    </row>
    <row r="356" spans="1:12" ht="19.5" x14ac:dyDescent="0.4">
      <c r="A356" s="1">
        <v>355</v>
      </c>
      <c r="B356" s="1" t="s">
        <v>28</v>
      </c>
      <c r="C356" s="1">
        <v>2024</v>
      </c>
      <c r="D356" t="s">
        <v>11</v>
      </c>
      <c r="E356" s="3">
        <v>211835</v>
      </c>
      <c r="F356" s="3">
        <v>315</v>
      </c>
      <c r="G356" s="13">
        <f>LN(F356/E356)</f>
        <v>-6.5109903099075659</v>
      </c>
      <c r="H356" s="4">
        <v>22.2</v>
      </c>
      <c r="I356" s="4">
        <f>((160*(1/10)*H356)+H356*(1/20)*874.5)*2</f>
        <v>2651.79</v>
      </c>
      <c r="J356" s="12">
        <v>15073</v>
      </c>
      <c r="K356" s="12">
        <v>53700</v>
      </c>
      <c r="L356" s="14">
        <f t="shared" si="6"/>
        <v>22.2</v>
      </c>
    </row>
    <row r="357" spans="1:12" ht="19.5" x14ac:dyDescent="0.4">
      <c r="A357" s="1">
        <v>356</v>
      </c>
      <c r="B357" s="1" t="s">
        <v>28</v>
      </c>
      <c r="C357" s="1">
        <v>2024</v>
      </c>
      <c r="D357" t="s">
        <v>12</v>
      </c>
      <c r="E357" s="3">
        <v>125083</v>
      </c>
      <c r="F357" s="3">
        <v>24</v>
      </c>
      <c r="G357" s="13">
        <f>LN(F357/E357)</f>
        <v>-8.5586789655860294</v>
      </c>
      <c r="H357" s="4">
        <v>33.200000000000003</v>
      </c>
      <c r="I357" s="4">
        <f>((160*(1/10)*H357)+H357*(1/20)*874.5)*2</f>
        <v>3965.7400000000002</v>
      </c>
      <c r="J357" s="12">
        <v>7751</v>
      </c>
      <c r="K357" s="12">
        <v>40932</v>
      </c>
      <c r="L357" s="14">
        <f t="shared" si="6"/>
        <v>33.200000000000003</v>
      </c>
    </row>
    <row r="358" spans="1:12" ht="19.5" x14ac:dyDescent="0.4">
      <c r="A358" s="1">
        <v>357</v>
      </c>
      <c r="B358" s="1" t="s">
        <v>28</v>
      </c>
      <c r="C358" s="1">
        <v>2024</v>
      </c>
      <c r="D358" t="s">
        <v>13</v>
      </c>
      <c r="E358" s="3">
        <v>225298</v>
      </c>
      <c r="F358" s="3">
        <v>1592</v>
      </c>
      <c r="G358" s="13">
        <f>LN(F358/E358)</f>
        <v>-4.9524328829237874</v>
      </c>
      <c r="H358" s="4">
        <v>18.2</v>
      </c>
      <c r="I358" s="4">
        <f>((160*(1/10)*H358)+H358*(1/20)*874.5)*2</f>
        <v>2173.9900000000002</v>
      </c>
      <c r="J358" s="12">
        <v>15548</v>
      </c>
      <c r="K358" s="12">
        <v>59284</v>
      </c>
      <c r="L358" s="14">
        <f t="shared" si="6"/>
        <v>18.2</v>
      </c>
    </row>
    <row r="359" spans="1:12" ht="19.5" x14ac:dyDescent="0.4">
      <c r="A359" s="1">
        <v>358</v>
      </c>
      <c r="B359" s="1" t="s">
        <v>28</v>
      </c>
      <c r="C359" s="1">
        <v>2024</v>
      </c>
      <c r="D359" t="s">
        <v>14</v>
      </c>
      <c r="E359" s="3">
        <v>225298</v>
      </c>
      <c r="F359" s="3">
        <v>535</v>
      </c>
      <c r="G359" s="13">
        <f>LN(F359/E359)</f>
        <v>-6.0429125024321095</v>
      </c>
      <c r="H359" s="4">
        <v>27.4</v>
      </c>
      <c r="I359" s="4">
        <f>((160*(1/10)*H359)+H359*(1/20)*874.5)*2</f>
        <v>3272.9300000000003</v>
      </c>
      <c r="J359" s="12">
        <v>8519</v>
      </c>
      <c r="K359" s="12">
        <v>35078</v>
      </c>
      <c r="L359" s="14">
        <f t="shared" si="6"/>
        <v>27.4</v>
      </c>
    </row>
    <row r="360" spans="1:12" ht="19.5" x14ac:dyDescent="0.4">
      <c r="A360" s="1">
        <v>359</v>
      </c>
      <c r="B360" s="1" t="s">
        <v>28</v>
      </c>
      <c r="C360" s="1">
        <v>2024</v>
      </c>
      <c r="D360" t="s">
        <v>15</v>
      </c>
      <c r="E360" s="3">
        <v>135777</v>
      </c>
      <c r="F360" s="3">
        <v>18360</v>
      </c>
      <c r="G360" s="13">
        <f>LN(F360/E360)</f>
        <v>-2.0008394488723309</v>
      </c>
      <c r="H360" s="4">
        <v>6</v>
      </c>
      <c r="I360" s="4">
        <f>((160*(1/10)*H360)+H360*(1/20)*874.5)*2</f>
        <v>716.7</v>
      </c>
      <c r="J360" s="12">
        <v>8295</v>
      </c>
      <c r="K360" s="12">
        <v>50017</v>
      </c>
      <c r="L360" s="14">
        <f t="shared" si="6"/>
        <v>6</v>
      </c>
    </row>
    <row r="361" spans="1:12" ht="19.5" x14ac:dyDescent="0.4">
      <c r="A361" s="1">
        <v>360</v>
      </c>
      <c r="B361" s="1" t="s">
        <v>28</v>
      </c>
      <c r="C361" s="1">
        <v>2024</v>
      </c>
      <c r="D361" t="s">
        <v>16</v>
      </c>
      <c r="E361" s="3">
        <v>217040</v>
      </c>
      <c r="F361" s="3">
        <v>591</v>
      </c>
      <c r="G361" s="13">
        <f>LN(F361/E361)</f>
        <v>-5.906020929926715</v>
      </c>
      <c r="H361" s="4">
        <v>24.2</v>
      </c>
      <c r="I361" s="4">
        <f>((160*(1/10)*H361)+H361*(1/20)*874.5)*2</f>
        <v>2890.69</v>
      </c>
      <c r="J361" s="12">
        <v>16187</v>
      </c>
      <c r="K361" s="12">
        <v>63371</v>
      </c>
      <c r="L361" s="14">
        <f t="shared" si="6"/>
        <v>24.2</v>
      </c>
    </row>
    <row r="362" spans="1:12" ht="19.5" x14ac:dyDescent="0.4">
      <c r="A362" s="1">
        <v>361</v>
      </c>
      <c r="B362" s="1" t="s">
        <v>28</v>
      </c>
      <c r="C362" s="1">
        <v>2024</v>
      </c>
      <c r="D362" t="s">
        <v>17</v>
      </c>
      <c r="E362" s="3">
        <v>142625</v>
      </c>
      <c r="F362" s="3">
        <v>447</v>
      </c>
      <c r="G362" s="13">
        <f>LN(F362/E362)</f>
        <v>-5.7654154925508081</v>
      </c>
      <c r="H362" s="4">
        <v>45.4</v>
      </c>
      <c r="I362" s="4">
        <f>((160*(1/10)*H362)+H362*(1/20)*874.5)*2</f>
        <v>5423.03</v>
      </c>
      <c r="J362" s="12">
        <v>10775</v>
      </c>
      <c r="K362" s="12">
        <v>46523</v>
      </c>
      <c r="L362" s="14">
        <f t="shared" si="6"/>
        <v>45.4</v>
      </c>
    </row>
    <row r="363" spans="1:12" ht="19.5" x14ac:dyDescent="0.4">
      <c r="A363" s="1">
        <v>362</v>
      </c>
      <c r="B363" s="1" t="s">
        <v>28</v>
      </c>
      <c r="C363" s="1">
        <v>2024</v>
      </c>
      <c r="D363" t="s">
        <v>18</v>
      </c>
      <c r="E363" s="3">
        <v>56869</v>
      </c>
      <c r="F363" s="3">
        <v>73</v>
      </c>
      <c r="G363" s="13">
        <f>LN(F363/E363)</f>
        <v>-6.6580462150344291</v>
      </c>
      <c r="H363" s="4">
        <v>49.4</v>
      </c>
      <c r="I363" s="4">
        <f>((160*(1/10)*H363)+H363*(1/20)*874.5)*2</f>
        <v>5900.8300000000008</v>
      </c>
      <c r="J363" s="12">
        <v>4168</v>
      </c>
      <c r="K363" s="12">
        <v>19403</v>
      </c>
      <c r="L363" s="14">
        <f t="shared" si="6"/>
        <v>49.4</v>
      </c>
    </row>
    <row r="364" spans="1:12" ht="19.5" x14ac:dyDescent="0.4">
      <c r="A364" s="1">
        <v>363</v>
      </c>
      <c r="B364" s="1" t="s">
        <v>28</v>
      </c>
      <c r="C364" s="1">
        <v>2024</v>
      </c>
      <c r="D364" t="s">
        <v>19</v>
      </c>
      <c r="E364" s="3">
        <v>121056</v>
      </c>
      <c r="F364" s="3">
        <v>85</v>
      </c>
      <c r="G364" s="13">
        <f>LN(F364/E364)</f>
        <v>-7.2613572709424394</v>
      </c>
      <c r="H364" s="4">
        <v>52.2</v>
      </c>
      <c r="I364" s="4">
        <f>((160*(1/10)*H364)+H364*(1/20)*874.5)*2</f>
        <v>6235.2900000000009</v>
      </c>
      <c r="J364" s="12">
        <v>8520</v>
      </c>
      <c r="K364" s="12">
        <v>38101</v>
      </c>
      <c r="L364" s="14">
        <f t="shared" si="6"/>
        <v>52.2</v>
      </c>
    </row>
    <row r="365" spans="1:12" ht="19.5" x14ac:dyDescent="0.4">
      <c r="A365" s="5">
        <v>364</v>
      </c>
      <c r="B365" s="5" t="s">
        <v>28</v>
      </c>
      <c r="C365" s="5">
        <v>2024</v>
      </c>
      <c r="D365" s="6" t="s">
        <v>20</v>
      </c>
      <c r="E365" s="7">
        <v>58171</v>
      </c>
      <c r="F365" s="7">
        <v>128</v>
      </c>
      <c r="G365" s="15">
        <f>LN(F365/E365)</f>
        <v>-6.1191119638293472</v>
      </c>
      <c r="H365" s="8">
        <v>52</v>
      </c>
      <c r="I365" s="8">
        <f>((160*(1/10)*H365)+H365*(1/20)*874.5)*2</f>
        <v>6211.4000000000005</v>
      </c>
      <c r="J365" s="10">
        <v>3816</v>
      </c>
      <c r="K365" s="10">
        <v>19636</v>
      </c>
      <c r="L365" s="16">
        <f t="shared" si="6"/>
        <v>52</v>
      </c>
    </row>
    <row r="366" spans="1:12" ht="19.5" x14ac:dyDescent="0.4">
      <c r="A366" s="1">
        <v>365</v>
      </c>
      <c r="B366" s="1" t="s">
        <v>29</v>
      </c>
      <c r="C366" s="1">
        <v>2018</v>
      </c>
      <c r="D366" t="s">
        <v>8</v>
      </c>
      <c r="E366" s="3">
        <v>248680</v>
      </c>
      <c r="F366" s="3">
        <v>219788</v>
      </c>
      <c r="G366" s="13">
        <f>LN(F366/E366)</f>
        <v>-0.12350348400842401</v>
      </c>
      <c r="H366" s="4">
        <v>5</v>
      </c>
      <c r="I366" s="4">
        <f>((160*(1/10)*H366)+H366*(1/20)*874.5)*2</f>
        <v>597.25</v>
      </c>
      <c r="J366" s="12">
        <v>15767</v>
      </c>
      <c r="K366" s="12">
        <v>67093</v>
      </c>
      <c r="L366" s="14">
        <f t="shared" si="6"/>
        <v>5</v>
      </c>
    </row>
    <row r="367" spans="1:12" ht="19.5" x14ac:dyDescent="0.4">
      <c r="A367" s="1">
        <v>366</v>
      </c>
      <c r="B367" s="1" t="s">
        <v>29</v>
      </c>
      <c r="C367" s="1">
        <v>2018</v>
      </c>
      <c r="D367" t="s">
        <v>9</v>
      </c>
      <c r="E367" s="3">
        <v>289323</v>
      </c>
      <c r="F367" s="3">
        <v>29660</v>
      </c>
      <c r="G367" s="13">
        <f>LN(F367/E367)</f>
        <v>-2.2777443743589698</v>
      </c>
      <c r="H367" s="4">
        <v>13.6</v>
      </c>
      <c r="I367" s="4">
        <f>((160*(1/10)*H367)+H367*(1/20)*874.5)*2</f>
        <v>1624.5200000000002</v>
      </c>
      <c r="J367" s="12">
        <v>21442</v>
      </c>
      <c r="K367" s="12">
        <v>81653</v>
      </c>
      <c r="L367" s="14">
        <f t="shared" si="6"/>
        <v>13.6</v>
      </c>
    </row>
    <row r="368" spans="1:12" ht="19.5" x14ac:dyDescent="0.4">
      <c r="A368" s="1">
        <v>367</v>
      </c>
      <c r="B368" s="1" t="s">
        <v>29</v>
      </c>
      <c r="C368" s="1">
        <v>2018</v>
      </c>
      <c r="D368" t="s">
        <v>10</v>
      </c>
      <c r="E368" s="3">
        <v>265379</v>
      </c>
      <c r="F368" s="3">
        <v>52214</v>
      </c>
      <c r="G368" s="13">
        <f>LN(F368/E368)</f>
        <v>-1.6258083347563907</v>
      </c>
      <c r="H368" s="4">
        <v>9.8000000000000007</v>
      </c>
      <c r="I368" s="4">
        <f>((160*(1/10)*H368)+H368*(1/20)*874.5)*2</f>
        <v>1170.6100000000001</v>
      </c>
      <c r="J368" s="12">
        <v>19571</v>
      </c>
      <c r="K368" s="12">
        <v>74654</v>
      </c>
      <c r="L368" s="14">
        <f t="shared" si="6"/>
        <v>9.8000000000000007</v>
      </c>
    </row>
    <row r="369" spans="1:12" ht="19.5" x14ac:dyDescent="0.4">
      <c r="A369" s="1">
        <v>368</v>
      </c>
      <c r="B369" s="1" t="s">
        <v>29</v>
      </c>
      <c r="C369" s="1">
        <v>2018</v>
      </c>
      <c r="D369" t="s">
        <v>11</v>
      </c>
      <c r="E369" s="3">
        <v>211835</v>
      </c>
      <c r="F369" s="3">
        <v>36816</v>
      </c>
      <c r="G369" s="13">
        <f>LN(F369/E369)</f>
        <v>-1.7498751364580516</v>
      </c>
      <c r="H369" s="4">
        <v>8.6</v>
      </c>
      <c r="I369" s="4">
        <f>((160*(1/10)*H369)+H369*(1/20)*874.5)*2</f>
        <v>1027.27</v>
      </c>
      <c r="J369" s="12">
        <v>15073</v>
      </c>
      <c r="K369" s="12">
        <v>53700</v>
      </c>
      <c r="L369" s="14">
        <f t="shared" si="6"/>
        <v>8.6</v>
      </c>
    </row>
    <row r="370" spans="1:12" ht="19.5" x14ac:dyDescent="0.4">
      <c r="A370" s="1">
        <v>369</v>
      </c>
      <c r="B370" s="1" t="s">
        <v>29</v>
      </c>
      <c r="C370" s="1">
        <v>2018</v>
      </c>
      <c r="D370" t="s">
        <v>12</v>
      </c>
      <c r="E370" s="3">
        <v>125083</v>
      </c>
      <c r="F370" s="3">
        <v>31754</v>
      </c>
      <c r="G370" s="13">
        <f>LN(F370/E370)</f>
        <v>-1.3709588152965178</v>
      </c>
      <c r="H370" s="4">
        <v>22.6</v>
      </c>
      <c r="I370" s="4">
        <f>((160*(1/10)*H370)+H370*(1/20)*874.5)*2</f>
        <v>2699.57</v>
      </c>
      <c r="J370" s="12">
        <v>7751</v>
      </c>
      <c r="K370" s="12">
        <v>40932</v>
      </c>
      <c r="L370" s="14">
        <f t="shared" si="6"/>
        <v>22.6</v>
      </c>
    </row>
    <row r="371" spans="1:12" ht="19.5" x14ac:dyDescent="0.4">
      <c r="A371" s="1">
        <v>370</v>
      </c>
      <c r="B371" s="1" t="s">
        <v>29</v>
      </c>
      <c r="C371" s="1">
        <v>2018</v>
      </c>
      <c r="D371" t="s">
        <v>13</v>
      </c>
      <c r="E371" s="3">
        <v>225298</v>
      </c>
      <c r="F371" s="3">
        <v>78623</v>
      </c>
      <c r="G371" s="13">
        <f>LN(F371/E371)</f>
        <v>-1.0527596928508134</v>
      </c>
      <c r="H371" s="4">
        <v>6</v>
      </c>
      <c r="I371" s="4">
        <f>((160*(1/10)*H371)+H371*(1/20)*874.5)*2</f>
        <v>716.7</v>
      </c>
      <c r="J371" s="12">
        <v>15548</v>
      </c>
      <c r="K371" s="12">
        <v>59284</v>
      </c>
      <c r="L371" s="14">
        <f t="shared" si="6"/>
        <v>6</v>
      </c>
    </row>
    <row r="372" spans="1:12" ht="19.5" x14ac:dyDescent="0.4">
      <c r="A372" s="1">
        <v>371</v>
      </c>
      <c r="B372" s="1" t="s">
        <v>29</v>
      </c>
      <c r="C372" s="1">
        <v>2018</v>
      </c>
      <c r="D372" t="s">
        <v>14</v>
      </c>
      <c r="E372" s="3">
        <v>225298</v>
      </c>
      <c r="F372" s="3">
        <v>12127</v>
      </c>
      <c r="G372" s="13">
        <f>LN(F372/E372)</f>
        <v>-2.9219895986713245</v>
      </c>
      <c r="H372" s="4">
        <v>20.8</v>
      </c>
      <c r="I372" s="4">
        <f>((160*(1/10)*H372)+H372*(1/20)*874.5)*2</f>
        <v>2484.56</v>
      </c>
      <c r="J372" s="12">
        <v>8519</v>
      </c>
      <c r="K372" s="12">
        <v>35078</v>
      </c>
      <c r="L372" s="14">
        <f t="shared" si="6"/>
        <v>20.8</v>
      </c>
    </row>
    <row r="373" spans="1:12" ht="19.5" x14ac:dyDescent="0.4">
      <c r="A373" s="1">
        <v>372</v>
      </c>
      <c r="B373" s="1" t="s">
        <v>29</v>
      </c>
      <c r="C373" s="1">
        <v>2018</v>
      </c>
      <c r="D373" t="s">
        <v>15</v>
      </c>
      <c r="E373" s="3">
        <v>135777</v>
      </c>
      <c r="F373" s="3">
        <v>39848</v>
      </c>
      <c r="G373" s="13">
        <f>LN(F373/E373)</f>
        <v>-1.2259416182936931</v>
      </c>
      <c r="H373" s="4">
        <v>12.8</v>
      </c>
      <c r="I373" s="4">
        <f>((160*(1/10)*H373)+H373*(1/20)*874.5)*2</f>
        <v>1528.96</v>
      </c>
      <c r="J373" s="12">
        <v>8295</v>
      </c>
      <c r="K373" s="12">
        <v>50017</v>
      </c>
      <c r="L373" s="14">
        <f t="shared" si="6"/>
        <v>12.8</v>
      </c>
    </row>
    <row r="374" spans="1:12" ht="19.5" x14ac:dyDescent="0.4">
      <c r="A374" s="1">
        <v>373</v>
      </c>
      <c r="B374" s="1" t="s">
        <v>29</v>
      </c>
      <c r="C374" s="1">
        <v>2018</v>
      </c>
      <c r="D374" t="s">
        <v>16</v>
      </c>
      <c r="E374" s="3">
        <v>217040</v>
      </c>
      <c r="F374" s="3">
        <v>29848</v>
      </c>
      <c r="G374" s="13">
        <f>LN(F374/E374)</f>
        <v>-1.9839638324318196</v>
      </c>
      <c r="H374" s="4">
        <v>14</v>
      </c>
      <c r="I374" s="4">
        <f>((160*(1/10)*H374)+H374*(1/20)*874.5)*2</f>
        <v>1672.3000000000002</v>
      </c>
      <c r="J374" s="12">
        <v>16187</v>
      </c>
      <c r="K374" s="12">
        <v>63371</v>
      </c>
      <c r="L374" s="14">
        <f t="shared" si="6"/>
        <v>14</v>
      </c>
    </row>
    <row r="375" spans="1:12" ht="19.5" x14ac:dyDescent="0.4">
      <c r="A375" s="1">
        <v>374</v>
      </c>
      <c r="B375" s="1" t="s">
        <v>29</v>
      </c>
      <c r="C375" s="1">
        <v>2018</v>
      </c>
      <c r="D375" t="s">
        <v>17</v>
      </c>
      <c r="E375" s="3">
        <v>142625</v>
      </c>
      <c r="F375" s="3">
        <v>12284</v>
      </c>
      <c r="G375" s="13">
        <f>LN(F375/E375)</f>
        <v>-2.4519212056036639</v>
      </c>
      <c r="H375" s="4">
        <v>28.8</v>
      </c>
      <c r="I375" s="4">
        <f>((160*(1/10)*H375)+H375*(1/20)*874.5)*2</f>
        <v>3440.1600000000003</v>
      </c>
      <c r="J375" s="12">
        <v>10775</v>
      </c>
      <c r="K375" s="12">
        <v>46523</v>
      </c>
      <c r="L375" s="14">
        <f t="shared" si="6"/>
        <v>28.8</v>
      </c>
    </row>
    <row r="376" spans="1:12" ht="19.5" x14ac:dyDescent="0.4">
      <c r="A376" s="1">
        <v>375</v>
      </c>
      <c r="B376" s="1" t="s">
        <v>29</v>
      </c>
      <c r="C376" s="1">
        <v>2018</v>
      </c>
      <c r="D376" t="s">
        <v>18</v>
      </c>
      <c r="E376" s="3">
        <v>56869</v>
      </c>
      <c r="F376" s="3">
        <v>3830</v>
      </c>
      <c r="G376" s="13">
        <f>LN(F376/E376)</f>
        <v>-2.6978855740081285</v>
      </c>
      <c r="H376" s="4">
        <v>35</v>
      </c>
      <c r="I376" s="4">
        <f>((160*(1/10)*H376)+H376*(1/20)*874.5)*2</f>
        <v>4180.75</v>
      </c>
      <c r="J376" s="12">
        <v>4168</v>
      </c>
      <c r="K376" s="12">
        <v>19403</v>
      </c>
      <c r="L376" s="14">
        <f t="shared" si="6"/>
        <v>35</v>
      </c>
    </row>
    <row r="377" spans="1:12" ht="19.5" x14ac:dyDescent="0.4">
      <c r="A377" s="1">
        <v>376</v>
      </c>
      <c r="B377" s="1" t="s">
        <v>29</v>
      </c>
      <c r="C377" s="1">
        <v>2018</v>
      </c>
      <c r="D377" t="s">
        <v>19</v>
      </c>
      <c r="E377" s="3">
        <v>121056</v>
      </c>
      <c r="F377" s="3">
        <v>9390</v>
      </c>
      <c r="G377" s="13">
        <f>LN(F377/E377)</f>
        <v>-2.5566079552304473</v>
      </c>
      <c r="H377" s="4">
        <v>40.6</v>
      </c>
      <c r="I377" s="4">
        <f>((160*(1/10)*H377)+H377*(1/20)*874.5)*2</f>
        <v>4849.67</v>
      </c>
      <c r="J377" s="12">
        <v>8520</v>
      </c>
      <c r="K377" s="12">
        <v>38101</v>
      </c>
      <c r="L377" s="14">
        <f t="shared" si="6"/>
        <v>40.6</v>
      </c>
    </row>
    <row r="378" spans="1:12" ht="19.5" x14ac:dyDescent="0.4">
      <c r="A378" s="5">
        <v>377</v>
      </c>
      <c r="B378" s="5" t="s">
        <v>29</v>
      </c>
      <c r="C378" s="5">
        <v>2018</v>
      </c>
      <c r="D378" s="6" t="s">
        <v>20</v>
      </c>
      <c r="E378" s="7">
        <v>58171</v>
      </c>
      <c r="F378" s="7">
        <v>4903</v>
      </c>
      <c r="G378" s="15">
        <f>LN(F378/E378)</f>
        <v>-2.4735396860977308</v>
      </c>
      <c r="H378" s="8">
        <v>41</v>
      </c>
      <c r="I378" s="8">
        <f>((160*(1/10)*H378)+H378*(1/20)*874.5)*2</f>
        <v>4897.4500000000007</v>
      </c>
      <c r="J378" s="10">
        <v>3816</v>
      </c>
      <c r="K378" s="10">
        <v>19636</v>
      </c>
      <c r="L378" s="16">
        <f t="shared" si="6"/>
        <v>41</v>
      </c>
    </row>
    <row r="379" spans="1:12" ht="19.5" x14ac:dyDescent="0.4">
      <c r="A379" s="1">
        <v>378</v>
      </c>
      <c r="B379" s="1" t="s">
        <v>29</v>
      </c>
      <c r="C379" s="1">
        <v>2019</v>
      </c>
      <c r="D379" t="s">
        <v>8</v>
      </c>
      <c r="E379" s="3">
        <v>248680</v>
      </c>
      <c r="F379" s="3">
        <v>245431</v>
      </c>
      <c r="G379" s="13">
        <f>LN(F379/E379)</f>
        <v>-1.3151080734198692E-2</v>
      </c>
      <c r="H379" s="4">
        <v>5</v>
      </c>
      <c r="I379" s="4">
        <f>((160*(1/10)*H379)+H379*(1/20)*874.5)*2</f>
        <v>597.25</v>
      </c>
      <c r="J379" s="12">
        <v>15767</v>
      </c>
      <c r="K379" s="12">
        <v>67093</v>
      </c>
      <c r="L379" s="14">
        <f t="shared" si="6"/>
        <v>5</v>
      </c>
    </row>
    <row r="380" spans="1:12" ht="19.5" x14ac:dyDescent="0.4">
      <c r="A380" s="1">
        <v>379</v>
      </c>
      <c r="B380" s="1" t="s">
        <v>29</v>
      </c>
      <c r="C380" s="1">
        <v>2019</v>
      </c>
      <c r="D380" t="s">
        <v>9</v>
      </c>
      <c r="E380" s="3">
        <v>289323</v>
      </c>
      <c r="F380" s="3">
        <v>41656</v>
      </c>
      <c r="G380" s="13">
        <f>LN(F380/E380)</f>
        <v>-1.938098295208158</v>
      </c>
      <c r="H380" s="4">
        <v>13.6</v>
      </c>
      <c r="I380" s="4">
        <f>((160*(1/10)*H380)+H380*(1/20)*874.5)*2</f>
        <v>1624.5200000000002</v>
      </c>
      <c r="J380" s="12">
        <v>21442</v>
      </c>
      <c r="K380" s="12">
        <v>81653</v>
      </c>
      <c r="L380" s="14">
        <f t="shared" si="6"/>
        <v>13.6</v>
      </c>
    </row>
    <row r="381" spans="1:12" ht="19.5" x14ac:dyDescent="0.4">
      <c r="A381" s="1">
        <v>380</v>
      </c>
      <c r="B381" s="1" t="s">
        <v>29</v>
      </c>
      <c r="C381" s="1">
        <v>2019</v>
      </c>
      <c r="D381" t="s">
        <v>10</v>
      </c>
      <c r="E381" s="3">
        <v>265379</v>
      </c>
      <c r="F381" s="3">
        <v>41381</v>
      </c>
      <c r="G381" s="13">
        <f>LN(F381/E381)</f>
        <v>-1.8583371546304219</v>
      </c>
      <c r="H381" s="4">
        <v>9.8000000000000007</v>
      </c>
      <c r="I381" s="4">
        <f>((160*(1/10)*H381)+H381*(1/20)*874.5)*2</f>
        <v>1170.6100000000001</v>
      </c>
      <c r="J381" s="12">
        <v>19571</v>
      </c>
      <c r="K381" s="12">
        <v>74654</v>
      </c>
      <c r="L381" s="14">
        <f t="shared" si="6"/>
        <v>9.8000000000000007</v>
      </c>
    </row>
    <row r="382" spans="1:12" ht="19.5" x14ac:dyDescent="0.4">
      <c r="A382" s="1">
        <v>381</v>
      </c>
      <c r="B382" s="1" t="s">
        <v>29</v>
      </c>
      <c r="C382" s="1">
        <v>2019</v>
      </c>
      <c r="D382" t="s">
        <v>11</v>
      </c>
      <c r="E382" s="3">
        <v>211835</v>
      </c>
      <c r="F382" s="3">
        <v>39049</v>
      </c>
      <c r="G382" s="13">
        <f>LN(F382/E382)</f>
        <v>-1.6909904019878843</v>
      </c>
      <c r="H382" s="4">
        <v>8.6</v>
      </c>
      <c r="I382" s="4">
        <f>((160*(1/10)*H382)+H382*(1/20)*874.5)*2</f>
        <v>1027.27</v>
      </c>
      <c r="J382" s="12">
        <v>15073</v>
      </c>
      <c r="K382" s="12">
        <v>53700</v>
      </c>
      <c r="L382" s="14">
        <f t="shared" si="6"/>
        <v>8.6</v>
      </c>
    </row>
    <row r="383" spans="1:12" ht="19.5" x14ac:dyDescent="0.4">
      <c r="A383" s="1">
        <v>382</v>
      </c>
      <c r="B383" s="1" t="s">
        <v>29</v>
      </c>
      <c r="C383" s="1">
        <v>2019</v>
      </c>
      <c r="D383" t="s">
        <v>12</v>
      </c>
      <c r="E383" s="3">
        <v>125083</v>
      </c>
      <c r="F383" s="3">
        <v>17030</v>
      </c>
      <c r="G383" s="13">
        <f>LN(F383/E383)</f>
        <v>-1.9940010222772406</v>
      </c>
      <c r="H383" s="4">
        <v>22.6</v>
      </c>
      <c r="I383" s="4">
        <f>((160*(1/10)*H383)+H383*(1/20)*874.5)*2</f>
        <v>2699.57</v>
      </c>
      <c r="J383" s="12">
        <v>7751</v>
      </c>
      <c r="K383" s="12">
        <v>40932</v>
      </c>
      <c r="L383" s="14">
        <f t="shared" si="6"/>
        <v>22.6</v>
      </c>
    </row>
    <row r="384" spans="1:12" ht="19.5" x14ac:dyDescent="0.4">
      <c r="A384" s="1">
        <v>383</v>
      </c>
      <c r="B384" s="1" t="s">
        <v>29</v>
      </c>
      <c r="C384" s="1">
        <v>2019</v>
      </c>
      <c r="D384" t="s">
        <v>13</v>
      </c>
      <c r="E384" s="3">
        <v>225298</v>
      </c>
      <c r="F384" s="3">
        <v>70577</v>
      </c>
      <c r="G384" s="13">
        <f>LN(F384/E384)</f>
        <v>-1.1607196579611281</v>
      </c>
      <c r="H384" s="4">
        <v>6</v>
      </c>
      <c r="I384" s="4">
        <f>((160*(1/10)*H384)+H384*(1/20)*874.5)*2</f>
        <v>716.7</v>
      </c>
      <c r="J384" s="12">
        <v>15548</v>
      </c>
      <c r="K384" s="12">
        <v>59284</v>
      </c>
      <c r="L384" s="14">
        <f t="shared" si="6"/>
        <v>6</v>
      </c>
    </row>
    <row r="385" spans="1:12" ht="19.5" x14ac:dyDescent="0.4">
      <c r="A385" s="1">
        <v>384</v>
      </c>
      <c r="B385" s="1" t="s">
        <v>29</v>
      </c>
      <c r="C385" s="1">
        <v>2019</v>
      </c>
      <c r="D385" t="s">
        <v>14</v>
      </c>
      <c r="E385" s="3">
        <v>225298</v>
      </c>
      <c r="F385" s="3">
        <v>12402</v>
      </c>
      <c r="G385" s="13">
        <f>LN(F385/E385)</f>
        <v>-2.8995662204182926</v>
      </c>
      <c r="H385" s="4">
        <v>20.8</v>
      </c>
      <c r="I385" s="4">
        <f>((160*(1/10)*H385)+H385*(1/20)*874.5)*2</f>
        <v>2484.56</v>
      </c>
      <c r="J385" s="12">
        <v>8519</v>
      </c>
      <c r="K385" s="12">
        <v>35078</v>
      </c>
      <c r="L385" s="14">
        <f t="shared" si="6"/>
        <v>20.8</v>
      </c>
    </row>
    <row r="386" spans="1:12" ht="19.5" x14ac:dyDescent="0.4">
      <c r="A386" s="1">
        <v>385</v>
      </c>
      <c r="B386" s="1" t="s">
        <v>29</v>
      </c>
      <c r="C386" s="1">
        <v>2019</v>
      </c>
      <c r="D386" t="s">
        <v>15</v>
      </c>
      <c r="E386" s="3">
        <v>135777</v>
      </c>
      <c r="F386" s="3">
        <v>53400</v>
      </c>
      <c r="G386" s="13">
        <f>LN(F386/E386)</f>
        <v>-0.93320308809852637</v>
      </c>
      <c r="H386" s="4">
        <v>12.8</v>
      </c>
      <c r="I386" s="4">
        <f>((160*(1/10)*H386)+H386*(1/20)*874.5)*2</f>
        <v>1528.96</v>
      </c>
      <c r="J386" s="12">
        <v>8295</v>
      </c>
      <c r="K386" s="12">
        <v>50017</v>
      </c>
      <c r="L386" s="14">
        <f t="shared" si="6"/>
        <v>12.8</v>
      </c>
    </row>
    <row r="387" spans="1:12" ht="19.5" x14ac:dyDescent="0.4">
      <c r="A387" s="1">
        <v>386</v>
      </c>
      <c r="B387" s="1" t="s">
        <v>29</v>
      </c>
      <c r="C387" s="1">
        <v>2019</v>
      </c>
      <c r="D387" t="s">
        <v>16</v>
      </c>
      <c r="E387" s="3">
        <v>217040</v>
      </c>
      <c r="F387" s="3">
        <v>34683</v>
      </c>
      <c r="G387" s="13">
        <f>LN(F387/E387)</f>
        <v>-1.8338320149893819</v>
      </c>
      <c r="H387" s="4">
        <v>14</v>
      </c>
      <c r="I387" s="4">
        <f>((160*(1/10)*H387)+H387*(1/20)*874.5)*2</f>
        <v>1672.3000000000002</v>
      </c>
      <c r="J387" s="12">
        <v>16187</v>
      </c>
      <c r="K387" s="12">
        <v>63371</v>
      </c>
      <c r="L387" s="14">
        <f t="shared" si="6"/>
        <v>14</v>
      </c>
    </row>
    <row r="388" spans="1:12" ht="19.5" x14ac:dyDescent="0.4">
      <c r="A388" s="1">
        <v>387</v>
      </c>
      <c r="B388" s="1" t="s">
        <v>29</v>
      </c>
      <c r="C388" s="1">
        <v>2019</v>
      </c>
      <c r="D388" t="s">
        <v>17</v>
      </c>
      <c r="E388" s="3">
        <v>142625</v>
      </c>
      <c r="F388" s="3">
        <v>11874</v>
      </c>
      <c r="G388" s="13">
        <f>LN(F388/E388)</f>
        <v>-2.4858676723337561</v>
      </c>
      <c r="H388" s="4">
        <v>28.8</v>
      </c>
      <c r="I388" s="4">
        <f>((160*(1/10)*H388)+H388*(1/20)*874.5)*2</f>
        <v>3440.1600000000003</v>
      </c>
      <c r="J388" s="12">
        <v>10775</v>
      </c>
      <c r="K388" s="12">
        <v>46523</v>
      </c>
      <c r="L388" s="14">
        <f t="shared" si="6"/>
        <v>28.8</v>
      </c>
    </row>
    <row r="389" spans="1:12" ht="19.5" x14ac:dyDescent="0.4">
      <c r="A389" s="1">
        <v>388</v>
      </c>
      <c r="B389" s="1" t="s">
        <v>29</v>
      </c>
      <c r="C389" s="1">
        <v>2019</v>
      </c>
      <c r="D389" t="s">
        <v>18</v>
      </c>
      <c r="E389" s="3">
        <v>56869</v>
      </c>
      <c r="F389" s="3">
        <v>3492</v>
      </c>
      <c r="G389" s="13">
        <f>LN(F389/E389)</f>
        <v>-2.7902757392233273</v>
      </c>
      <c r="H389" s="4">
        <v>35</v>
      </c>
      <c r="I389" s="4">
        <f>((160*(1/10)*H389)+H389*(1/20)*874.5)*2</f>
        <v>4180.75</v>
      </c>
      <c r="J389" s="12">
        <v>4168</v>
      </c>
      <c r="K389" s="12">
        <v>19403</v>
      </c>
      <c r="L389" s="14">
        <f t="shared" si="6"/>
        <v>35</v>
      </c>
    </row>
    <row r="390" spans="1:12" ht="19.5" x14ac:dyDescent="0.4">
      <c r="A390" s="1">
        <v>389</v>
      </c>
      <c r="B390" s="1" t="s">
        <v>29</v>
      </c>
      <c r="C390" s="1">
        <v>2019</v>
      </c>
      <c r="D390" t="s">
        <v>19</v>
      </c>
      <c r="E390" s="3">
        <v>121056</v>
      </c>
      <c r="F390" s="3">
        <v>8721</v>
      </c>
      <c r="G390" s="13">
        <f>LN(F390/E390)</f>
        <v>-2.6305193382057701</v>
      </c>
      <c r="H390" s="4">
        <v>40.6</v>
      </c>
      <c r="I390" s="4">
        <f>((160*(1/10)*H390)+H390*(1/20)*874.5)*2</f>
        <v>4849.67</v>
      </c>
      <c r="J390" s="12">
        <v>8520</v>
      </c>
      <c r="K390" s="12">
        <v>38101</v>
      </c>
      <c r="L390" s="14">
        <f t="shared" si="6"/>
        <v>40.6</v>
      </c>
    </row>
    <row r="391" spans="1:12" ht="19.5" x14ac:dyDescent="0.4">
      <c r="A391" s="5">
        <v>390</v>
      </c>
      <c r="B391" s="5" t="s">
        <v>29</v>
      </c>
      <c r="C391" s="5">
        <v>2019</v>
      </c>
      <c r="D391" s="6" t="s">
        <v>20</v>
      </c>
      <c r="E391" s="7">
        <v>58171</v>
      </c>
      <c r="F391" s="7">
        <v>4420</v>
      </c>
      <c r="G391" s="15">
        <f>LN(F391/E391)</f>
        <v>-2.5772472526772203</v>
      </c>
      <c r="H391" s="8">
        <v>41</v>
      </c>
      <c r="I391" s="8">
        <f>((160*(1/10)*H391)+H391*(1/20)*874.5)*2</f>
        <v>4897.4500000000007</v>
      </c>
      <c r="J391" s="10">
        <v>3816</v>
      </c>
      <c r="K391" s="10">
        <v>19636</v>
      </c>
      <c r="L391" s="16">
        <f t="shared" si="6"/>
        <v>41</v>
      </c>
    </row>
    <row r="392" spans="1:12" ht="19.5" x14ac:dyDescent="0.4">
      <c r="A392" s="1">
        <v>391</v>
      </c>
      <c r="B392" s="1" t="s">
        <v>29</v>
      </c>
      <c r="C392" s="1">
        <v>2023</v>
      </c>
      <c r="D392" t="s">
        <v>8</v>
      </c>
      <c r="E392" s="3">
        <v>248680</v>
      </c>
      <c r="F392" s="3">
        <v>215009</v>
      </c>
      <c r="G392" s="13">
        <f>LN(F392/E392)</f>
        <v>-0.14548704168448251</v>
      </c>
      <c r="H392" s="4">
        <v>5</v>
      </c>
      <c r="I392" s="4">
        <f>((160*(1/10)*H392)+H392*(1/20)*874.5)*2</f>
        <v>597.25</v>
      </c>
      <c r="J392" s="12">
        <v>15767</v>
      </c>
      <c r="K392" s="12">
        <v>67093</v>
      </c>
      <c r="L392" s="14">
        <f t="shared" si="6"/>
        <v>5</v>
      </c>
    </row>
    <row r="393" spans="1:12" ht="19.5" x14ac:dyDescent="0.4">
      <c r="A393" s="1">
        <v>392</v>
      </c>
      <c r="B393" s="1" t="s">
        <v>29</v>
      </c>
      <c r="C393" s="1">
        <v>2023</v>
      </c>
      <c r="D393" t="s">
        <v>9</v>
      </c>
      <c r="E393" s="3">
        <v>289323</v>
      </c>
      <c r="F393" s="3">
        <v>37864</v>
      </c>
      <c r="G393" s="13">
        <f>LN(F393/E393)</f>
        <v>-2.0335429184648088</v>
      </c>
      <c r="H393" s="4">
        <v>13.6</v>
      </c>
      <c r="I393" s="4">
        <f>((160*(1/10)*H393)+H393*(1/20)*874.5)*2</f>
        <v>1624.5200000000002</v>
      </c>
      <c r="J393" s="12">
        <v>21442</v>
      </c>
      <c r="K393" s="12">
        <v>81653</v>
      </c>
      <c r="L393" s="14">
        <f t="shared" si="6"/>
        <v>13.6</v>
      </c>
    </row>
    <row r="394" spans="1:12" ht="19.5" x14ac:dyDescent="0.4">
      <c r="A394" s="1">
        <v>393</v>
      </c>
      <c r="B394" s="1" t="s">
        <v>29</v>
      </c>
      <c r="C394" s="1">
        <v>2023</v>
      </c>
      <c r="D394" t="s">
        <v>10</v>
      </c>
      <c r="E394" s="3">
        <v>265379</v>
      </c>
      <c r="F394" s="3">
        <v>35161</v>
      </c>
      <c r="G394" s="13">
        <f>LN(F394/E394)</f>
        <v>-2.0212214790964942</v>
      </c>
      <c r="H394" s="4">
        <v>9.8000000000000007</v>
      </c>
      <c r="I394" s="4">
        <f>((160*(1/10)*H394)+H394*(1/20)*874.5)*2</f>
        <v>1170.6100000000001</v>
      </c>
      <c r="J394" s="12">
        <v>19571</v>
      </c>
      <c r="K394" s="12">
        <v>74654</v>
      </c>
      <c r="L394" s="14">
        <f t="shared" si="6"/>
        <v>9.8000000000000007</v>
      </c>
    </row>
    <row r="395" spans="1:12" ht="19.5" x14ac:dyDescent="0.4">
      <c r="A395" s="1">
        <v>394</v>
      </c>
      <c r="B395" s="1" t="s">
        <v>29</v>
      </c>
      <c r="C395" s="1">
        <v>2023</v>
      </c>
      <c r="D395" t="s">
        <v>11</v>
      </c>
      <c r="E395" s="3">
        <v>211835</v>
      </c>
      <c r="F395" s="3">
        <v>26752</v>
      </c>
      <c r="G395" s="13">
        <f>LN(F395/E395)</f>
        <v>-2.0691984328487703</v>
      </c>
      <c r="H395" s="4">
        <v>8.6</v>
      </c>
      <c r="I395" s="4">
        <f>((160*(1/10)*H395)+H395*(1/20)*874.5)*2</f>
        <v>1027.27</v>
      </c>
      <c r="J395" s="12">
        <v>15073</v>
      </c>
      <c r="K395" s="12">
        <v>53700</v>
      </c>
      <c r="L395" s="14">
        <f t="shared" si="6"/>
        <v>8.6</v>
      </c>
    </row>
    <row r="396" spans="1:12" ht="19.5" x14ac:dyDescent="0.4">
      <c r="A396" s="1">
        <v>395</v>
      </c>
      <c r="B396" s="1" t="s">
        <v>29</v>
      </c>
      <c r="C396" s="1">
        <v>2023</v>
      </c>
      <c r="D396" t="s">
        <v>12</v>
      </c>
      <c r="E396" s="3">
        <v>125083</v>
      </c>
      <c r="F396" s="3">
        <v>13423</v>
      </c>
      <c r="G396" s="13">
        <f>LN(F396/E396)</f>
        <v>-2.2320078634463387</v>
      </c>
      <c r="H396" s="4">
        <v>22.6</v>
      </c>
      <c r="I396" s="4">
        <f>((160*(1/10)*H396)+H396*(1/20)*874.5)*2</f>
        <v>2699.57</v>
      </c>
      <c r="J396" s="12">
        <v>7751</v>
      </c>
      <c r="K396" s="12">
        <v>40932</v>
      </c>
      <c r="L396" s="14">
        <f t="shared" si="6"/>
        <v>22.6</v>
      </c>
    </row>
    <row r="397" spans="1:12" ht="19.5" x14ac:dyDescent="0.4">
      <c r="A397" s="1">
        <v>396</v>
      </c>
      <c r="B397" s="1" t="s">
        <v>29</v>
      </c>
      <c r="C397" s="1">
        <v>2023</v>
      </c>
      <c r="D397" t="s">
        <v>13</v>
      </c>
      <c r="E397" s="3">
        <v>225298</v>
      </c>
      <c r="F397" s="3">
        <v>67632</v>
      </c>
      <c r="G397" s="13">
        <f>LN(F397/E397)</f>
        <v>-1.2033427265215451</v>
      </c>
      <c r="H397" s="4">
        <v>6</v>
      </c>
      <c r="I397" s="4">
        <f>((160*(1/10)*H397)+H397*(1/20)*874.5)*2</f>
        <v>716.7</v>
      </c>
      <c r="J397" s="12">
        <v>15548</v>
      </c>
      <c r="K397" s="12">
        <v>59284</v>
      </c>
      <c r="L397" s="14">
        <f t="shared" si="6"/>
        <v>6</v>
      </c>
    </row>
    <row r="398" spans="1:12" ht="19.5" x14ac:dyDescent="0.4">
      <c r="A398" s="1">
        <v>397</v>
      </c>
      <c r="B398" s="1" t="s">
        <v>29</v>
      </c>
      <c r="C398" s="1">
        <v>2023</v>
      </c>
      <c r="D398" t="s">
        <v>14</v>
      </c>
      <c r="E398" s="3">
        <v>225298</v>
      </c>
      <c r="F398" s="3">
        <v>12020</v>
      </c>
      <c r="G398" s="13">
        <f>LN(F398/E398)</f>
        <v>-2.9308520412389174</v>
      </c>
      <c r="H398" s="4">
        <v>20.8</v>
      </c>
      <c r="I398" s="4">
        <f>((160*(1/10)*H398)+H398*(1/20)*874.5)*2</f>
        <v>2484.56</v>
      </c>
      <c r="J398" s="12">
        <v>8519</v>
      </c>
      <c r="K398" s="12">
        <v>35078</v>
      </c>
      <c r="L398" s="14">
        <f t="shared" si="6"/>
        <v>20.8</v>
      </c>
    </row>
    <row r="399" spans="1:12" ht="19.5" x14ac:dyDescent="0.4">
      <c r="A399" s="1">
        <v>398</v>
      </c>
      <c r="B399" s="1" t="s">
        <v>29</v>
      </c>
      <c r="C399" s="1">
        <v>2023</v>
      </c>
      <c r="D399" t="s">
        <v>15</v>
      </c>
      <c r="E399" s="3">
        <v>135777</v>
      </c>
      <c r="F399" s="3">
        <v>34998</v>
      </c>
      <c r="G399" s="13">
        <f>LN(F399/E399)</f>
        <v>-1.3557229170651199</v>
      </c>
      <c r="H399" s="4">
        <v>12.8</v>
      </c>
      <c r="I399" s="4">
        <f>((160*(1/10)*H399)+H399*(1/20)*874.5)*2</f>
        <v>1528.96</v>
      </c>
      <c r="J399" s="12">
        <v>8295</v>
      </c>
      <c r="K399" s="12">
        <v>50017</v>
      </c>
      <c r="L399" s="14">
        <f t="shared" si="6"/>
        <v>12.8</v>
      </c>
    </row>
    <row r="400" spans="1:12" ht="19.5" x14ac:dyDescent="0.4">
      <c r="A400" s="1">
        <v>399</v>
      </c>
      <c r="B400" s="1" t="s">
        <v>29</v>
      </c>
      <c r="C400" s="1">
        <v>2023</v>
      </c>
      <c r="D400" t="s">
        <v>16</v>
      </c>
      <c r="E400" s="3">
        <v>217040</v>
      </c>
      <c r="F400" s="3">
        <v>25662</v>
      </c>
      <c r="G400" s="13">
        <f>LN(F400/E400)</f>
        <v>-2.1350703698778495</v>
      </c>
      <c r="H400" s="4">
        <v>14</v>
      </c>
      <c r="I400" s="4">
        <f>((160*(1/10)*H400)+H400*(1/20)*874.5)*2</f>
        <v>1672.3000000000002</v>
      </c>
      <c r="J400" s="12">
        <v>16187</v>
      </c>
      <c r="K400" s="12">
        <v>63371</v>
      </c>
      <c r="L400" s="14">
        <f t="shared" si="6"/>
        <v>14</v>
      </c>
    </row>
    <row r="401" spans="1:12" ht="19.5" x14ac:dyDescent="0.4">
      <c r="A401" s="1">
        <v>400</v>
      </c>
      <c r="B401" s="1" t="s">
        <v>29</v>
      </c>
      <c r="C401" s="1">
        <v>2023</v>
      </c>
      <c r="D401" t="s">
        <v>17</v>
      </c>
      <c r="E401" s="3">
        <v>142625</v>
      </c>
      <c r="F401" s="3">
        <v>13738</v>
      </c>
      <c r="G401" s="13">
        <f>LN(F401/E401)</f>
        <v>-2.3400530923905496</v>
      </c>
      <c r="H401" s="4">
        <v>28.8</v>
      </c>
      <c r="I401" s="4">
        <f>((160*(1/10)*H401)+H401*(1/20)*874.5)*2</f>
        <v>3440.1600000000003</v>
      </c>
      <c r="J401" s="12">
        <v>10775</v>
      </c>
      <c r="K401" s="12">
        <v>46523</v>
      </c>
      <c r="L401" s="14">
        <f t="shared" si="6"/>
        <v>28.8</v>
      </c>
    </row>
    <row r="402" spans="1:12" ht="19.5" x14ac:dyDescent="0.4">
      <c r="A402" s="1">
        <v>401</v>
      </c>
      <c r="B402" s="1" t="s">
        <v>29</v>
      </c>
      <c r="C402" s="1">
        <v>2023</v>
      </c>
      <c r="D402" t="s">
        <v>18</v>
      </c>
      <c r="E402" s="3">
        <v>56869</v>
      </c>
      <c r="F402" s="3">
        <v>2670</v>
      </c>
      <c r="G402" s="13">
        <f>LN(F402/E402)</f>
        <v>-3.0586719047885249</v>
      </c>
      <c r="H402" s="4">
        <v>35</v>
      </c>
      <c r="I402" s="4">
        <f>((160*(1/10)*H402)+H402*(1/20)*874.5)*2</f>
        <v>4180.75</v>
      </c>
      <c r="J402" s="12">
        <v>4168</v>
      </c>
      <c r="K402" s="12">
        <v>19403</v>
      </c>
      <c r="L402" s="14">
        <f t="shared" si="6"/>
        <v>35</v>
      </c>
    </row>
    <row r="403" spans="1:12" ht="19.5" x14ac:dyDescent="0.4">
      <c r="A403" s="1">
        <v>402</v>
      </c>
      <c r="B403" s="1" t="s">
        <v>29</v>
      </c>
      <c r="C403" s="1">
        <v>2023</v>
      </c>
      <c r="D403" t="s">
        <v>19</v>
      </c>
      <c r="E403" s="3">
        <v>121056</v>
      </c>
      <c r="F403" s="3">
        <v>7817</v>
      </c>
      <c r="G403" s="13">
        <f>LN(F403/E403)</f>
        <v>-2.7399523992124251</v>
      </c>
      <c r="H403" s="4">
        <v>40.6</v>
      </c>
      <c r="I403" s="4">
        <f>((160*(1/10)*H403)+H403*(1/20)*874.5)*2</f>
        <v>4849.67</v>
      </c>
      <c r="J403" s="12">
        <v>8520</v>
      </c>
      <c r="K403" s="12">
        <v>38101</v>
      </c>
      <c r="L403" s="14">
        <f t="shared" si="6"/>
        <v>40.6</v>
      </c>
    </row>
    <row r="404" spans="1:12" ht="19.5" x14ac:dyDescent="0.4">
      <c r="A404" s="5">
        <v>403</v>
      </c>
      <c r="B404" s="5" t="s">
        <v>29</v>
      </c>
      <c r="C404" s="5">
        <v>2023</v>
      </c>
      <c r="D404" s="6" t="s">
        <v>20</v>
      </c>
      <c r="E404" s="7">
        <v>58171</v>
      </c>
      <c r="F404" s="7">
        <v>4185</v>
      </c>
      <c r="G404" s="15">
        <f>LN(F404/E404)</f>
        <v>-2.6318802448253882</v>
      </c>
      <c r="H404" s="8">
        <v>41</v>
      </c>
      <c r="I404" s="8">
        <f>((160*(1/10)*H404)+H404*(1/20)*874.5)*2</f>
        <v>4897.4500000000007</v>
      </c>
      <c r="J404" s="10">
        <v>3816</v>
      </c>
      <c r="K404" s="10">
        <v>19636</v>
      </c>
      <c r="L404" s="16">
        <f t="shared" si="6"/>
        <v>41</v>
      </c>
    </row>
    <row r="405" spans="1:12" ht="19.5" x14ac:dyDescent="0.4">
      <c r="A405" s="1">
        <v>404</v>
      </c>
      <c r="B405" s="1" t="s">
        <v>29</v>
      </c>
      <c r="C405" s="1">
        <v>2024</v>
      </c>
      <c r="D405" t="s">
        <v>8</v>
      </c>
      <c r="E405" s="3">
        <v>248680</v>
      </c>
      <c r="F405" s="3">
        <v>209478</v>
      </c>
      <c r="G405" s="13">
        <f>LN(F405/E405)</f>
        <v>-0.17154820748625765</v>
      </c>
      <c r="H405" s="4">
        <v>5</v>
      </c>
      <c r="I405" s="4">
        <f>((160*(1/10)*H405)+H405*(1/20)*874.5)*2</f>
        <v>597.25</v>
      </c>
      <c r="J405" s="12">
        <v>15767</v>
      </c>
      <c r="K405" s="12">
        <v>67093</v>
      </c>
      <c r="L405" s="14">
        <f t="shared" si="6"/>
        <v>5</v>
      </c>
    </row>
    <row r="406" spans="1:12" ht="19.5" x14ac:dyDescent="0.4">
      <c r="A406" s="1">
        <v>405</v>
      </c>
      <c r="B406" s="1" t="s">
        <v>29</v>
      </c>
      <c r="C406" s="1">
        <v>2024</v>
      </c>
      <c r="D406" t="s">
        <v>9</v>
      </c>
      <c r="E406" s="3">
        <v>289323</v>
      </c>
      <c r="F406" s="3">
        <v>44489</v>
      </c>
      <c r="G406" s="13">
        <f>LN(F406/E406)</f>
        <v>-1.872301743464531</v>
      </c>
      <c r="H406" s="4">
        <v>13.6</v>
      </c>
      <c r="I406" s="4">
        <f>((160*(1/10)*H406)+H406*(1/20)*874.5)*2</f>
        <v>1624.5200000000002</v>
      </c>
      <c r="J406" s="12">
        <v>21442</v>
      </c>
      <c r="K406" s="12">
        <v>81653</v>
      </c>
      <c r="L406" s="14">
        <f t="shared" si="6"/>
        <v>13.6</v>
      </c>
    </row>
    <row r="407" spans="1:12" ht="19.5" x14ac:dyDescent="0.4">
      <c r="A407" s="1">
        <v>406</v>
      </c>
      <c r="B407" s="1" t="s">
        <v>29</v>
      </c>
      <c r="C407" s="1">
        <v>2024</v>
      </c>
      <c r="D407" t="s">
        <v>10</v>
      </c>
      <c r="E407" s="3">
        <v>265379</v>
      </c>
      <c r="F407" s="3">
        <v>35549</v>
      </c>
      <c r="G407" s="13">
        <f>LN(F407/E407)</f>
        <v>-2.0102469664613221</v>
      </c>
      <c r="H407" s="4">
        <v>9.8000000000000007</v>
      </c>
      <c r="I407" s="4">
        <f>((160*(1/10)*H407)+H407*(1/20)*874.5)*2</f>
        <v>1170.6100000000001</v>
      </c>
      <c r="J407" s="12">
        <v>19571</v>
      </c>
      <c r="K407" s="12">
        <v>74654</v>
      </c>
      <c r="L407" s="14">
        <f t="shared" si="6"/>
        <v>9.8000000000000007</v>
      </c>
    </row>
    <row r="408" spans="1:12" ht="19.5" x14ac:dyDescent="0.4">
      <c r="A408" s="1">
        <v>407</v>
      </c>
      <c r="B408" s="1" t="s">
        <v>29</v>
      </c>
      <c r="C408" s="1">
        <v>2024</v>
      </c>
      <c r="D408" t="s">
        <v>11</v>
      </c>
      <c r="E408" s="3">
        <v>211835</v>
      </c>
      <c r="F408" s="3">
        <v>26700</v>
      </c>
      <c r="G408" s="13">
        <f>LN(F408/E408)</f>
        <v>-2.0711441043448575</v>
      </c>
      <c r="H408" s="4">
        <v>8.6</v>
      </c>
      <c r="I408" s="4">
        <f>((160*(1/10)*H408)+H408*(1/20)*874.5)*2</f>
        <v>1027.27</v>
      </c>
      <c r="J408" s="12">
        <v>15073</v>
      </c>
      <c r="K408" s="12">
        <v>53700</v>
      </c>
      <c r="L408" s="14">
        <f t="shared" si="6"/>
        <v>8.6</v>
      </c>
    </row>
    <row r="409" spans="1:12" ht="19.5" x14ac:dyDescent="0.4">
      <c r="A409" s="1">
        <v>408</v>
      </c>
      <c r="B409" s="1" t="s">
        <v>29</v>
      </c>
      <c r="C409" s="1">
        <v>2024</v>
      </c>
      <c r="D409" t="s">
        <v>12</v>
      </c>
      <c r="E409" s="3">
        <v>125083</v>
      </c>
      <c r="F409" s="3">
        <v>13633</v>
      </c>
      <c r="G409" s="13">
        <f>LN(F409/E409)</f>
        <v>-2.2164841927478447</v>
      </c>
      <c r="H409" s="4">
        <v>22.6</v>
      </c>
      <c r="I409" s="4">
        <f>((160*(1/10)*H409)+H409*(1/20)*874.5)*2</f>
        <v>2699.57</v>
      </c>
      <c r="J409" s="12">
        <v>7751</v>
      </c>
      <c r="K409" s="12">
        <v>40932</v>
      </c>
      <c r="L409" s="14">
        <f t="shared" si="6"/>
        <v>22.6</v>
      </c>
    </row>
    <row r="410" spans="1:12" ht="19.5" x14ac:dyDescent="0.4">
      <c r="A410" s="1">
        <v>409</v>
      </c>
      <c r="B410" s="1" t="s">
        <v>29</v>
      </c>
      <c r="C410" s="1">
        <v>2024</v>
      </c>
      <c r="D410" t="s">
        <v>13</v>
      </c>
      <c r="E410" s="3">
        <v>225298</v>
      </c>
      <c r="F410" s="3">
        <v>81503</v>
      </c>
      <c r="G410" s="13">
        <f>LN(F410/E410)</f>
        <v>-1.0167841409606757</v>
      </c>
      <c r="H410" s="4">
        <v>6</v>
      </c>
      <c r="I410" s="4">
        <f>((160*(1/10)*H410)+H410*(1/20)*874.5)*2</f>
        <v>716.7</v>
      </c>
      <c r="J410" s="12">
        <v>15548</v>
      </c>
      <c r="K410" s="12">
        <v>59284</v>
      </c>
      <c r="L410" s="14">
        <f t="shared" si="6"/>
        <v>6</v>
      </c>
    </row>
    <row r="411" spans="1:12" ht="19.5" x14ac:dyDescent="0.4">
      <c r="A411" s="1">
        <v>410</v>
      </c>
      <c r="B411" s="1" t="s">
        <v>29</v>
      </c>
      <c r="C411" s="1">
        <v>2024</v>
      </c>
      <c r="D411" t="s">
        <v>14</v>
      </c>
      <c r="E411" s="3">
        <v>225298</v>
      </c>
      <c r="F411" s="3">
        <v>9141</v>
      </c>
      <c r="G411" s="13">
        <f>LN(F411/E411)</f>
        <v>-3.2046541816742971</v>
      </c>
      <c r="H411" s="4">
        <v>20.8</v>
      </c>
      <c r="I411" s="4">
        <f>((160*(1/10)*H411)+H411*(1/20)*874.5)*2</f>
        <v>2484.56</v>
      </c>
      <c r="J411" s="12">
        <v>8519</v>
      </c>
      <c r="K411" s="12">
        <v>35078</v>
      </c>
      <c r="L411" s="14">
        <f t="shared" si="6"/>
        <v>20.8</v>
      </c>
    </row>
    <row r="412" spans="1:12" ht="19.5" x14ac:dyDescent="0.4">
      <c r="A412" s="1">
        <v>411</v>
      </c>
      <c r="B412" s="1" t="s">
        <v>29</v>
      </c>
      <c r="C412" s="1">
        <v>2024</v>
      </c>
      <c r="D412" t="s">
        <v>15</v>
      </c>
      <c r="E412" s="3">
        <v>135777</v>
      </c>
      <c r="F412" s="3">
        <v>37696</v>
      </c>
      <c r="G412" s="13">
        <f>LN(F412/E412)</f>
        <v>-1.281459846035554</v>
      </c>
      <c r="H412" s="4">
        <v>12.8</v>
      </c>
      <c r="I412" s="4">
        <f>((160*(1/10)*H412)+H412*(1/20)*874.5)*2</f>
        <v>1528.96</v>
      </c>
      <c r="J412" s="12">
        <v>8295</v>
      </c>
      <c r="K412" s="12">
        <v>50017</v>
      </c>
      <c r="L412" s="14">
        <f t="shared" si="6"/>
        <v>12.8</v>
      </c>
    </row>
    <row r="413" spans="1:12" ht="19.5" x14ac:dyDescent="0.4">
      <c r="A413" s="1">
        <v>412</v>
      </c>
      <c r="B413" s="1" t="s">
        <v>29</v>
      </c>
      <c r="C413" s="1">
        <v>2024</v>
      </c>
      <c r="D413" t="s">
        <v>16</v>
      </c>
      <c r="E413" s="3">
        <v>217040</v>
      </c>
      <c r="F413" s="3">
        <v>25614</v>
      </c>
      <c r="G413" s="13">
        <f>LN(F413/E413)</f>
        <v>-2.1369425913467963</v>
      </c>
      <c r="H413" s="4">
        <v>14</v>
      </c>
      <c r="I413" s="4">
        <f>((160*(1/10)*H413)+H413*(1/20)*874.5)*2</f>
        <v>1672.3000000000002</v>
      </c>
      <c r="J413" s="12">
        <v>16187</v>
      </c>
      <c r="K413" s="12">
        <v>63371</v>
      </c>
      <c r="L413" s="14">
        <f t="shared" si="6"/>
        <v>14</v>
      </c>
    </row>
    <row r="414" spans="1:12" ht="19.5" x14ac:dyDescent="0.4">
      <c r="A414" s="1">
        <v>413</v>
      </c>
      <c r="B414" s="1" t="s">
        <v>29</v>
      </c>
      <c r="C414" s="1">
        <v>2024</v>
      </c>
      <c r="D414" t="s">
        <v>17</v>
      </c>
      <c r="E414" s="3">
        <v>142625</v>
      </c>
      <c r="F414" s="3">
        <v>11548</v>
      </c>
      <c r="G414" s="13">
        <f>LN(F414/E414)</f>
        <v>-2.5137065463815511</v>
      </c>
      <c r="H414" s="4">
        <v>28.8</v>
      </c>
      <c r="I414" s="4">
        <f>((160*(1/10)*H414)+H414*(1/20)*874.5)*2</f>
        <v>3440.1600000000003</v>
      </c>
      <c r="J414" s="12">
        <v>10775</v>
      </c>
      <c r="K414" s="12">
        <v>46523</v>
      </c>
      <c r="L414" s="14">
        <f t="shared" ref="L414:L477" si="7">H414</f>
        <v>28.8</v>
      </c>
    </row>
    <row r="415" spans="1:12" ht="19.5" x14ac:dyDescent="0.4">
      <c r="A415" s="1">
        <v>414</v>
      </c>
      <c r="B415" s="1" t="s">
        <v>29</v>
      </c>
      <c r="C415" s="1">
        <v>2024</v>
      </c>
      <c r="D415" t="s">
        <v>18</v>
      </c>
      <c r="E415" s="3">
        <v>56869</v>
      </c>
      <c r="F415" s="3">
        <v>3469</v>
      </c>
      <c r="G415" s="13">
        <f>LN(F415/E415)</f>
        <v>-2.7968840092130707</v>
      </c>
      <c r="H415" s="4">
        <v>35</v>
      </c>
      <c r="I415" s="4">
        <f>((160*(1/10)*H415)+H415*(1/20)*874.5)*2</f>
        <v>4180.75</v>
      </c>
      <c r="J415" s="12">
        <v>4168</v>
      </c>
      <c r="K415" s="12">
        <v>19403</v>
      </c>
      <c r="L415" s="14">
        <f t="shared" si="7"/>
        <v>35</v>
      </c>
    </row>
    <row r="416" spans="1:12" ht="19.5" x14ac:dyDescent="0.4">
      <c r="A416" s="1">
        <v>415</v>
      </c>
      <c r="B416" s="1" t="s">
        <v>29</v>
      </c>
      <c r="C416" s="1">
        <v>2024</v>
      </c>
      <c r="D416" t="s">
        <v>19</v>
      </c>
      <c r="E416" s="3">
        <v>121056</v>
      </c>
      <c r="F416" s="3">
        <v>7570</v>
      </c>
      <c r="G416" s="13">
        <f>LN(F416/E416)</f>
        <v>-2.7720601810012613</v>
      </c>
      <c r="H416" s="4">
        <v>40.6</v>
      </c>
      <c r="I416" s="4">
        <f>((160*(1/10)*H416)+H416*(1/20)*874.5)*2</f>
        <v>4849.67</v>
      </c>
      <c r="J416" s="12">
        <v>8520</v>
      </c>
      <c r="K416" s="12">
        <v>38101</v>
      </c>
      <c r="L416" s="14">
        <f t="shared" si="7"/>
        <v>40.6</v>
      </c>
    </row>
    <row r="417" spans="1:12" ht="19.5" x14ac:dyDescent="0.4">
      <c r="A417" s="5">
        <v>416</v>
      </c>
      <c r="B417" s="5" t="s">
        <v>29</v>
      </c>
      <c r="C417" s="5">
        <v>2024</v>
      </c>
      <c r="D417" s="6" t="s">
        <v>20</v>
      </c>
      <c r="E417" s="7">
        <v>58171</v>
      </c>
      <c r="F417" s="7">
        <v>2970</v>
      </c>
      <c r="G417" s="15">
        <f>LN(F417/E417)</f>
        <v>-2.9748249959522188</v>
      </c>
      <c r="H417" s="8">
        <v>41</v>
      </c>
      <c r="I417" s="8">
        <f>((160*(1/10)*H417)+H417*(1/20)*874.5)*2</f>
        <v>4897.4500000000007</v>
      </c>
      <c r="J417" s="10">
        <v>3816</v>
      </c>
      <c r="K417" s="10">
        <v>19636</v>
      </c>
      <c r="L417" s="16">
        <f t="shared" si="7"/>
        <v>41</v>
      </c>
    </row>
    <row r="418" spans="1:12" ht="19.5" x14ac:dyDescent="0.4">
      <c r="A418" s="1">
        <v>417</v>
      </c>
      <c r="B418" s="1" t="s">
        <v>30</v>
      </c>
      <c r="C418" s="1">
        <v>2018</v>
      </c>
      <c r="D418" t="s">
        <v>8</v>
      </c>
      <c r="E418" s="3">
        <v>248680</v>
      </c>
      <c r="F418" s="3">
        <v>15239</v>
      </c>
      <c r="G418" s="13">
        <f>LN(F418/E418)</f>
        <v>-2.792308998093413</v>
      </c>
      <c r="H418" s="4">
        <v>8</v>
      </c>
      <c r="I418" s="4">
        <f>((160*(1/10)*H418)+H418*(1/20)*874.5)*2</f>
        <v>955.6</v>
      </c>
      <c r="J418" s="12">
        <v>15767</v>
      </c>
      <c r="K418" s="12">
        <v>67093</v>
      </c>
      <c r="L418" s="14">
        <f t="shared" si="7"/>
        <v>8</v>
      </c>
    </row>
    <row r="419" spans="1:12" ht="19.5" x14ac:dyDescent="0.4">
      <c r="A419" s="1">
        <v>418</v>
      </c>
      <c r="B419" s="1" t="s">
        <v>30</v>
      </c>
      <c r="C419" s="1">
        <v>2018</v>
      </c>
      <c r="D419" t="s">
        <v>9</v>
      </c>
      <c r="E419" s="3">
        <v>289323</v>
      </c>
      <c r="F419" s="3">
        <v>3225</v>
      </c>
      <c r="G419" s="13">
        <f>LN(F419/E419)</f>
        <v>-4.49661076082102</v>
      </c>
      <c r="H419" s="4">
        <v>16.2</v>
      </c>
      <c r="I419" s="4">
        <f>((160*(1/10)*H419)+H419*(1/20)*874.5)*2</f>
        <v>1935.0900000000001</v>
      </c>
      <c r="J419" s="12">
        <v>21442</v>
      </c>
      <c r="K419" s="12">
        <v>81653</v>
      </c>
      <c r="L419" s="14">
        <f t="shared" si="7"/>
        <v>16.2</v>
      </c>
    </row>
    <row r="420" spans="1:12" ht="19.5" x14ac:dyDescent="0.4">
      <c r="A420" s="1">
        <v>419</v>
      </c>
      <c r="B420" s="1" t="s">
        <v>30</v>
      </c>
      <c r="C420" s="1">
        <v>2018</v>
      </c>
      <c r="D420" t="s">
        <v>10</v>
      </c>
      <c r="E420" s="3">
        <v>265379</v>
      </c>
      <c r="F420" s="3">
        <v>3000</v>
      </c>
      <c r="G420" s="13">
        <f>LN(F420/E420)</f>
        <v>-4.4825467042516056</v>
      </c>
      <c r="H420" s="4">
        <v>16.2</v>
      </c>
      <c r="I420" s="4">
        <f>((160*(1/10)*H420)+H420*(1/20)*874.5)*2</f>
        <v>1935.0900000000001</v>
      </c>
      <c r="J420" s="12">
        <v>19571</v>
      </c>
      <c r="K420" s="12">
        <v>74654</v>
      </c>
      <c r="L420" s="14">
        <f t="shared" si="7"/>
        <v>16.2</v>
      </c>
    </row>
    <row r="421" spans="1:12" ht="19.5" x14ac:dyDescent="0.4">
      <c r="A421" s="1">
        <v>420</v>
      </c>
      <c r="B421" s="1" t="s">
        <v>30</v>
      </c>
      <c r="C421" s="1">
        <v>2018</v>
      </c>
      <c r="D421" t="s">
        <v>11</v>
      </c>
      <c r="E421" s="3">
        <v>211835</v>
      </c>
      <c r="F421" s="3">
        <v>1963</v>
      </c>
      <c r="G421" s="13">
        <f>LN(F421/E421)</f>
        <v>-4.6813337544567375</v>
      </c>
      <c r="H421" s="4">
        <v>16.8</v>
      </c>
      <c r="I421" s="4">
        <f>((160*(1/10)*H421)+H421*(1/20)*874.5)*2</f>
        <v>2006.7600000000002</v>
      </c>
      <c r="J421" s="12">
        <v>15073</v>
      </c>
      <c r="K421" s="12">
        <v>53700</v>
      </c>
      <c r="L421" s="14">
        <f t="shared" si="7"/>
        <v>16.8</v>
      </c>
    </row>
    <row r="422" spans="1:12" ht="19.5" x14ac:dyDescent="0.4">
      <c r="A422" s="1">
        <v>421</v>
      </c>
      <c r="B422" s="1" t="s">
        <v>30</v>
      </c>
      <c r="C422" s="1">
        <v>2018</v>
      </c>
      <c r="D422" t="s">
        <v>12</v>
      </c>
      <c r="E422" s="3">
        <v>125083</v>
      </c>
      <c r="F422" s="3">
        <v>779</v>
      </c>
      <c r="G422" s="13">
        <f>LN(F422/E422)</f>
        <v>-5.0787217500632265</v>
      </c>
      <c r="H422" s="4">
        <v>31.4</v>
      </c>
      <c r="I422" s="4">
        <f>((160*(1/10)*H422)+H422*(1/20)*874.5)*2</f>
        <v>3750.7300000000005</v>
      </c>
      <c r="J422" s="12">
        <v>7751</v>
      </c>
      <c r="K422" s="12">
        <v>40932</v>
      </c>
      <c r="L422" s="14">
        <f t="shared" si="7"/>
        <v>31.4</v>
      </c>
    </row>
    <row r="423" spans="1:12" ht="19.5" x14ac:dyDescent="0.4">
      <c r="A423" s="1">
        <v>422</v>
      </c>
      <c r="B423" s="1" t="s">
        <v>30</v>
      </c>
      <c r="C423" s="1">
        <v>2018</v>
      </c>
      <c r="D423" t="s">
        <v>13</v>
      </c>
      <c r="E423" s="3">
        <v>225298</v>
      </c>
      <c r="F423" s="3">
        <v>4805</v>
      </c>
      <c r="G423" s="13">
        <f>LN(F423/E423)</f>
        <v>-3.8477669279237232</v>
      </c>
      <c r="H423" s="4">
        <v>13.4</v>
      </c>
      <c r="I423" s="4">
        <f>((160*(1/10)*H423)+H423*(1/20)*874.5)*2</f>
        <v>1600.63</v>
      </c>
      <c r="J423" s="12">
        <v>15548</v>
      </c>
      <c r="K423" s="12">
        <v>59284</v>
      </c>
      <c r="L423" s="14">
        <f t="shared" si="7"/>
        <v>13.4</v>
      </c>
    </row>
    <row r="424" spans="1:12" ht="19.5" x14ac:dyDescent="0.4">
      <c r="A424" s="1">
        <v>423</v>
      </c>
      <c r="B424" s="1" t="s">
        <v>30</v>
      </c>
      <c r="C424" s="1">
        <v>2018</v>
      </c>
      <c r="D424" t="s">
        <v>14</v>
      </c>
      <c r="E424" s="3">
        <v>225298</v>
      </c>
      <c r="F424" s="3">
        <v>963</v>
      </c>
      <c r="G424" s="13">
        <f>LN(F424/E424)</f>
        <v>-5.4551258375299909</v>
      </c>
      <c r="H424" s="4">
        <v>30</v>
      </c>
      <c r="I424" s="4">
        <f>((160*(1/10)*H424)+H424*(1/20)*874.5)*2</f>
        <v>3583.5</v>
      </c>
      <c r="J424" s="12">
        <v>8519</v>
      </c>
      <c r="K424" s="12">
        <v>35078</v>
      </c>
      <c r="L424" s="14">
        <f t="shared" si="7"/>
        <v>30</v>
      </c>
    </row>
    <row r="425" spans="1:12" ht="19.5" x14ac:dyDescent="0.4">
      <c r="A425" s="1">
        <v>424</v>
      </c>
      <c r="B425" s="1" t="s">
        <v>30</v>
      </c>
      <c r="C425" s="1">
        <v>2018</v>
      </c>
      <c r="D425" t="s">
        <v>15</v>
      </c>
      <c r="E425" s="3">
        <v>135777</v>
      </c>
      <c r="F425" s="3">
        <v>2474</v>
      </c>
      <c r="G425" s="13">
        <f>LN(F425/E425)</f>
        <v>-4.0051775600943795</v>
      </c>
      <c r="H425" s="4">
        <v>17.399999999999999</v>
      </c>
      <c r="I425" s="4">
        <f>((160*(1/10)*H425)+H425*(1/20)*874.5)*2</f>
        <v>2078.4299999999998</v>
      </c>
      <c r="J425" s="12">
        <v>8295</v>
      </c>
      <c r="K425" s="12">
        <v>50017</v>
      </c>
      <c r="L425" s="14">
        <f t="shared" si="7"/>
        <v>17.399999999999999</v>
      </c>
    </row>
    <row r="426" spans="1:12" ht="19.5" x14ac:dyDescent="0.4">
      <c r="A426" s="1">
        <v>425</v>
      </c>
      <c r="B426" s="1" t="s">
        <v>30</v>
      </c>
      <c r="C426" s="1">
        <v>2018</v>
      </c>
      <c r="D426" t="s">
        <v>16</v>
      </c>
      <c r="E426" s="3">
        <v>217040</v>
      </c>
      <c r="F426" s="3">
        <v>4365</v>
      </c>
      <c r="G426" s="13">
        <f>LN(F426/E426)</f>
        <v>-3.9064634790591106</v>
      </c>
      <c r="H426" s="4">
        <v>11.4</v>
      </c>
      <c r="I426" s="4">
        <f>((160*(1/10)*H426)+H426*(1/20)*874.5)*2</f>
        <v>1361.73</v>
      </c>
      <c r="J426" s="12">
        <v>16187</v>
      </c>
      <c r="K426" s="12">
        <v>63371</v>
      </c>
      <c r="L426" s="14">
        <f t="shared" si="7"/>
        <v>11.4</v>
      </c>
    </row>
    <row r="427" spans="1:12" ht="19.5" x14ac:dyDescent="0.4">
      <c r="A427" s="1">
        <v>426</v>
      </c>
      <c r="B427" s="1" t="s">
        <v>30</v>
      </c>
      <c r="C427" s="1">
        <v>2018</v>
      </c>
      <c r="D427" t="s">
        <v>17</v>
      </c>
      <c r="E427" s="3">
        <v>142625</v>
      </c>
      <c r="F427" s="3">
        <v>2659</v>
      </c>
      <c r="G427" s="13">
        <f>LN(F427/E427)</f>
        <v>-3.9822686959213569</v>
      </c>
      <c r="H427" s="4">
        <v>28.2</v>
      </c>
      <c r="I427" s="4">
        <f>((160*(1/10)*H427)+H427*(1/20)*874.5)*2</f>
        <v>3368.4900000000002</v>
      </c>
      <c r="J427" s="12">
        <v>10775</v>
      </c>
      <c r="K427" s="12">
        <v>46523</v>
      </c>
      <c r="L427" s="14">
        <f t="shared" si="7"/>
        <v>28.2</v>
      </c>
    </row>
    <row r="428" spans="1:12" ht="19.5" x14ac:dyDescent="0.4">
      <c r="A428" s="1">
        <v>427</v>
      </c>
      <c r="B428" s="1" t="s">
        <v>30</v>
      </c>
      <c r="C428" s="1">
        <v>2018</v>
      </c>
      <c r="D428" t="s">
        <v>18</v>
      </c>
      <c r="E428" s="3">
        <v>56869</v>
      </c>
      <c r="F428" s="3">
        <v>252</v>
      </c>
      <c r="G428" s="13">
        <f>LN(F428/E428)</f>
        <v>-5.4190765686713966</v>
      </c>
      <c r="H428" s="4">
        <v>38.6</v>
      </c>
      <c r="I428" s="4">
        <f>((160*(1/10)*H428)+H428*(1/20)*874.5)*2</f>
        <v>4610.7700000000004</v>
      </c>
      <c r="J428" s="12">
        <v>4168</v>
      </c>
      <c r="K428" s="12">
        <v>19403</v>
      </c>
      <c r="L428" s="14">
        <f t="shared" si="7"/>
        <v>38.6</v>
      </c>
    </row>
    <row r="429" spans="1:12" ht="19.5" x14ac:dyDescent="0.4">
      <c r="A429" s="1">
        <v>428</v>
      </c>
      <c r="B429" s="1" t="s">
        <v>30</v>
      </c>
      <c r="C429" s="1">
        <v>2018</v>
      </c>
      <c r="D429" t="s">
        <v>19</v>
      </c>
      <c r="E429" s="3">
        <v>121056</v>
      </c>
      <c r="F429" s="3">
        <v>487</v>
      </c>
      <c r="G429" s="13">
        <f>LN(F429/E429)</f>
        <v>-5.5157444043501664</v>
      </c>
      <c r="H429" s="4">
        <v>47.2</v>
      </c>
      <c r="I429" s="4">
        <f>((160*(1/10)*H429)+H429*(1/20)*874.5)*2</f>
        <v>5638.0400000000009</v>
      </c>
      <c r="J429" s="12">
        <v>8520</v>
      </c>
      <c r="K429" s="12">
        <v>38101</v>
      </c>
      <c r="L429" s="14">
        <f t="shared" si="7"/>
        <v>47.2</v>
      </c>
    </row>
    <row r="430" spans="1:12" ht="19.5" x14ac:dyDescent="0.4">
      <c r="A430" s="5">
        <v>429</v>
      </c>
      <c r="B430" s="5" t="s">
        <v>30</v>
      </c>
      <c r="C430" s="5">
        <v>2018</v>
      </c>
      <c r="D430" s="6" t="s">
        <v>20</v>
      </c>
      <c r="E430" s="7">
        <v>58171</v>
      </c>
      <c r="F430" s="7">
        <v>1137</v>
      </c>
      <c r="G430" s="15">
        <f>LN(F430/E430)</f>
        <v>-3.9349937339984278</v>
      </c>
      <c r="H430" s="8">
        <v>50</v>
      </c>
      <c r="I430" s="8">
        <f>((160*(1/10)*H430)+H430*(1/20)*874.5)*2</f>
        <v>5972.5</v>
      </c>
      <c r="J430" s="10">
        <v>3816</v>
      </c>
      <c r="K430" s="10">
        <v>19636</v>
      </c>
      <c r="L430" s="16">
        <f t="shared" si="7"/>
        <v>50</v>
      </c>
    </row>
    <row r="431" spans="1:12" ht="19.5" x14ac:dyDescent="0.4">
      <c r="A431" s="1">
        <v>430</v>
      </c>
      <c r="B431" s="1" t="s">
        <v>30</v>
      </c>
      <c r="C431" s="1">
        <v>2019</v>
      </c>
      <c r="D431" t="s">
        <v>8</v>
      </c>
      <c r="E431" s="3">
        <v>248680</v>
      </c>
      <c r="F431" s="3">
        <v>18663</v>
      </c>
      <c r="G431" s="13">
        <f>LN(F431/E431)</f>
        <v>-2.5896239752001442</v>
      </c>
      <c r="H431" s="4">
        <v>8</v>
      </c>
      <c r="I431" s="4">
        <f>((160*(1/10)*H431)+H431*(1/20)*874.5)*2</f>
        <v>955.6</v>
      </c>
      <c r="J431" s="12">
        <v>15767</v>
      </c>
      <c r="K431" s="12">
        <v>67093</v>
      </c>
      <c r="L431" s="14">
        <f t="shared" si="7"/>
        <v>8</v>
      </c>
    </row>
    <row r="432" spans="1:12" ht="19.5" x14ac:dyDescent="0.4">
      <c r="A432" s="1">
        <v>431</v>
      </c>
      <c r="B432" s="1" t="s">
        <v>30</v>
      </c>
      <c r="C432" s="1">
        <v>2019</v>
      </c>
      <c r="D432" t="s">
        <v>9</v>
      </c>
      <c r="E432" s="3">
        <v>289323</v>
      </c>
      <c r="F432" s="3">
        <v>3740</v>
      </c>
      <c r="G432" s="13">
        <f>LN(F432/E432)</f>
        <v>-4.3484580996423157</v>
      </c>
      <c r="H432" s="4">
        <v>16.2</v>
      </c>
      <c r="I432" s="4">
        <f>((160*(1/10)*H432)+H432*(1/20)*874.5)*2</f>
        <v>1935.0900000000001</v>
      </c>
      <c r="J432" s="12">
        <v>21442</v>
      </c>
      <c r="K432" s="12">
        <v>81653</v>
      </c>
      <c r="L432" s="14">
        <f t="shared" si="7"/>
        <v>16.2</v>
      </c>
    </row>
    <row r="433" spans="1:12" ht="19.5" x14ac:dyDescent="0.4">
      <c r="A433" s="1">
        <v>432</v>
      </c>
      <c r="B433" s="1" t="s">
        <v>30</v>
      </c>
      <c r="C433" s="1">
        <v>2019</v>
      </c>
      <c r="D433" t="s">
        <v>10</v>
      </c>
      <c r="E433" s="3">
        <v>265379</v>
      </c>
      <c r="F433" s="3">
        <v>2717</v>
      </c>
      <c r="G433" s="13">
        <f>LN(F433/E433)</f>
        <v>-4.5816306624755043</v>
      </c>
      <c r="H433" s="4">
        <v>16.2</v>
      </c>
      <c r="I433" s="4">
        <f>((160*(1/10)*H433)+H433*(1/20)*874.5)*2</f>
        <v>1935.0900000000001</v>
      </c>
      <c r="J433" s="12">
        <v>19571</v>
      </c>
      <c r="K433" s="12">
        <v>74654</v>
      </c>
      <c r="L433" s="14">
        <f t="shared" si="7"/>
        <v>16.2</v>
      </c>
    </row>
    <row r="434" spans="1:12" ht="19.5" x14ac:dyDescent="0.4">
      <c r="A434" s="1">
        <v>433</v>
      </c>
      <c r="B434" s="1" t="s">
        <v>30</v>
      </c>
      <c r="C434" s="1">
        <v>2019</v>
      </c>
      <c r="D434" t="s">
        <v>11</v>
      </c>
      <c r="E434" s="3">
        <v>211835</v>
      </c>
      <c r="F434" s="3">
        <v>3890</v>
      </c>
      <c r="G434" s="13">
        <f>LN(F434/E434)</f>
        <v>-3.9973985121207067</v>
      </c>
      <c r="H434" s="4">
        <v>16.8</v>
      </c>
      <c r="I434" s="4">
        <f>((160*(1/10)*H434)+H434*(1/20)*874.5)*2</f>
        <v>2006.7600000000002</v>
      </c>
      <c r="J434" s="12">
        <v>15073</v>
      </c>
      <c r="K434" s="12">
        <v>53700</v>
      </c>
      <c r="L434" s="14">
        <f t="shared" si="7"/>
        <v>16.8</v>
      </c>
    </row>
    <row r="435" spans="1:12" ht="19.5" x14ac:dyDescent="0.4">
      <c r="A435" s="1">
        <v>434</v>
      </c>
      <c r="B435" s="1" t="s">
        <v>30</v>
      </c>
      <c r="C435" s="1">
        <v>2019</v>
      </c>
      <c r="D435" t="s">
        <v>12</v>
      </c>
      <c r="E435" s="3">
        <v>125083</v>
      </c>
      <c r="F435" s="3">
        <v>780</v>
      </c>
      <c r="G435" s="13">
        <f>LN(F435/E435)</f>
        <v>-5.0774388762503371</v>
      </c>
      <c r="H435" s="4">
        <v>31.4</v>
      </c>
      <c r="I435" s="4">
        <f>((160*(1/10)*H435)+H435*(1/20)*874.5)*2</f>
        <v>3750.7300000000005</v>
      </c>
      <c r="J435" s="12">
        <v>7751</v>
      </c>
      <c r="K435" s="12">
        <v>40932</v>
      </c>
      <c r="L435" s="14">
        <f t="shared" si="7"/>
        <v>31.4</v>
      </c>
    </row>
    <row r="436" spans="1:12" ht="19.5" x14ac:dyDescent="0.4">
      <c r="A436" s="1">
        <v>435</v>
      </c>
      <c r="B436" s="1" t="s">
        <v>30</v>
      </c>
      <c r="C436" s="1">
        <v>2019</v>
      </c>
      <c r="D436" t="s">
        <v>13</v>
      </c>
      <c r="E436" s="3">
        <v>225298</v>
      </c>
      <c r="F436" s="3">
        <v>3566</v>
      </c>
      <c r="G436" s="13">
        <f>LN(F436/E436)</f>
        <v>-4.1459794509050303</v>
      </c>
      <c r="H436" s="4">
        <v>13.4</v>
      </c>
      <c r="I436" s="4">
        <f>((160*(1/10)*H436)+H436*(1/20)*874.5)*2</f>
        <v>1600.63</v>
      </c>
      <c r="J436" s="12">
        <v>15548</v>
      </c>
      <c r="K436" s="12">
        <v>59284</v>
      </c>
      <c r="L436" s="14">
        <f t="shared" si="7"/>
        <v>13.4</v>
      </c>
    </row>
    <row r="437" spans="1:12" ht="19.5" x14ac:dyDescent="0.4">
      <c r="A437" s="1">
        <v>436</v>
      </c>
      <c r="B437" s="1" t="s">
        <v>30</v>
      </c>
      <c r="C437" s="1">
        <v>2019</v>
      </c>
      <c r="D437" t="s">
        <v>14</v>
      </c>
      <c r="E437" s="3">
        <v>225298</v>
      </c>
      <c r="F437" s="3">
        <v>1223</v>
      </c>
      <c r="G437" s="13">
        <f>LN(F437/E437)</f>
        <v>-5.2161171136409434</v>
      </c>
      <c r="H437" s="4">
        <v>30</v>
      </c>
      <c r="I437" s="4">
        <f>((160*(1/10)*H437)+H437*(1/20)*874.5)*2</f>
        <v>3583.5</v>
      </c>
      <c r="J437" s="12">
        <v>8519</v>
      </c>
      <c r="K437" s="12">
        <v>35078</v>
      </c>
      <c r="L437" s="14">
        <f t="shared" si="7"/>
        <v>30</v>
      </c>
    </row>
    <row r="438" spans="1:12" ht="19.5" x14ac:dyDescent="0.4">
      <c r="A438" s="1">
        <v>437</v>
      </c>
      <c r="B438" s="1" t="s">
        <v>30</v>
      </c>
      <c r="C438" s="1">
        <v>2019</v>
      </c>
      <c r="D438" t="s">
        <v>15</v>
      </c>
      <c r="E438" s="3">
        <v>135777</v>
      </c>
      <c r="F438" s="3">
        <v>2457</v>
      </c>
      <c r="G438" s="13">
        <f>LN(F438/E438)</f>
        <v>-4.0120727405256336</v>
      </c>
      <c r="H438" s="4">
        <v>17.399999999999999</v>
      </c>
      <c r="I438" s="4">
        <f>((160*(1/10)*H438)+H438*(1/20)*874.5)*2</f>
        <v>2078.4299999999998</v>
      </c>
      <c r="J438" s="12">
        <v>8295</v>
      </c>
      <c r="K438" s="12">
        <v>50017</v>
      </c>
      <c r="L438" s="14">
        <f t="shared" si="7"/>
        <v>17.399999999999999</v>
      </c>
    </row>
    <row r="439" spans="1:12" ht="19.5" x14ac:dyDescent="0.4">
      <c r="A439" s="1">
        <v>438</v>
      </c>
      <c r="B439" s="1" t="s">
        <v>30</v>
      </c>
      <c r="C439" s="1">
        <v>2019</v>
      </c>
      <c r="D439" t="s">
        <v>16</v>
      </c>
      <c r="E439" s="3">
        <v>217040</v>
      </c>
      <c r="F439" s="3">
        <v>4504</v>
      </c>
      <c r="G439" s="13">
        <f>LN(F439/E439)</f>
        <v>-3.8751157775132872</v>
      </c>
      <c r="H439" s="4">
        <v>11.4</v>
      </c>
      <c r="I439" s="4">
        <f>((160*(1/10)*H439)+H439*(1/20)*874.5)*2</f>
        <v>1361.73</v>
      </c>
      <c r="J439" s="12">
        <v>16187</v>
      </c>
      <c r="K439" s="12">
        <v>63371</v>
      </c>
      <c r="L439" s="14">
        <f t="shared" si="7"/>
        <v>11.4</v>
      </c>
    </row>
    <row r="440" spans="1:12" ht="19.5" x14ac:dyDescent="0.4">
      <c r="A440" s="1">
        <v>439</v>
      </c>
      <c r="B440" s="1" t="s">
        <v>30</v>
      </c>
      <c r="C440" s="1">
        <v>2019</v>
      </c>
      <c r="D440" t="s">
        <v>17</v>
      </c>
      <c r="E440" s="3">
        <v>142625</v>
      </c>
      <c r="F440" s="3">
        <v>1413</v>
      </c>
      <c r="G440" s="13">
        <f>LN(F440/E440)</f>
        <v>-4.6145037044798496</v>
      </c>
      <c r="H440" s="4">
        <v>28.2</v>
      </c>
      <c r="I440" s="4">
        <f>((160*(1/10)*H440)+H440*(1/20)*874.5)*2</f>
        <v>3368.4900000000002</v>
      </c>
      <c r="J440" s="12">
        <v>10775</v>
      </c>
      <c r="K440" s="12">
        <v>46523</v>
      </c>
      <c r="L440" s="14">
        <f t="shared" si="7"/>
        <v>28.2</v>
      </c>
    </row>
    <row r="441" spans="1:12" ht="19.5" x14ac:dyDescent="0.4">
      <c r="A441" s="1">
        <v>440</v>
      </c>
      <c r="B441" s="1" t="s">
        <v>30</v>
      </c>
      <c r="C441" s="1">
        <v>2019</v>
      </c>
      <c r="D441" t="s">
        <v>18</v>
      </c>
      <c r="E441" s="3">
        <v>56869</v>
      </c>
      <c r="F441" s="3">
        <v>799</v>
      </c>
      <c r="G441" s="13">
        <f>LN(F441/E441)</f>
        <v>-4.2651447104165454</v>
      </c>
      <c r="H441" s="4">
        <v>38.6</v>
      </c>
      <c r="I441" s="4">
        <f>((160*(1/10)*H441)+H441*(1/20)*874.5)*2</f>
        <v>4610.7700000000004</v>
      </c>
      <c r="J441" s="12">
        <v>4168</v>
      </c>
      <c r="K441" s="12">
        <v>19403</v>
      </c>
      <c r="L441" s="14">
        <f t="shared" si="7"/>
        <v>38.6</v>
      </c>
    </row>
    <row r="442" spans="1:12" ht="19.5" x14ac:dyDescent="0.4">
      <c r="A442" s="1">
        <v>441</v>
      </c>
      <c r="B442" s="1" t="s">
        <v>30</v>
      </c>
      <c r="C442" s="1">
        <v>2019</v>
      </c>
      <c r="D442" t="s">
        <v>19</v>
      </c>
      <c r="E442" s="3">
        <v>121056</v>
      </c>
      <c r="F442" s="3">
        <v>782</v>
      </c>
      <c r="G442" s="13">
        <f>LN(F442/E442)</f>
        <v>-5.0421537868874449</v>
      </c>
      <c r="H442" s="4">
        <v>47.2</v>
      </c>
      <c r="I442" s="4">
        <f>((160*(1/10)*H442)+H442*(1/20)*874.5)*2</f>
        <v>5638.0400000000009</v>
      </c>
      <c r="J442" s="12">
        <v>8520</v>
      </c>
      <c r="K442" s="12">
        <v>38101</v>
      </c>
      <c r="L442" s="14">
        <f t="shared" si="7"/>
        <v>47.2</v>
      </c>
    </row>
    <row r="443" spans="1:12" ht="19.5" x14ac:dyDescent="0.4">
      <c r="A443" s="5">
        <v>442</v>
      </c>
      <c r="B443" s="5" t="s">
        <v>30</v>
      </c>
      <c r="C443" s="5">
        <v>2019</v>
      </c>
      <c r="D443" s="6" t="s">
        <v>20</v>
      </c>
      <c r="E443" s="7">
        <v>58171</v>
      </c>
      <c r="F443" s="7">
        <v>318</v>
      </c>
      <c r="G443" s="15">
        <f>LN(F443/E443)</f>
        <v>-5.2090908449687872</v>
      </c>
      <c r="H443" s="8">
        <v>50</v>
      </c>
      <c r="I443" s="8">
        <f>((160*(1/10)*H443)+H443*(1/20)*874.5)*2</f>
        <v>5972.5</v>
      </c>
      <c r="J443" s="10">
        <v>3816</v>
      </c>
      <c r="K443" s="10">
        <v>19636</v>
      </c>
      <c r="L443" s="16">
        <f t="shared" si="7"/>
        <v>50</v>
      </c>
    </row>
    <row r="444" spans="1:12" ht="19.5" x14ac:dyDescent="0.4">
      <c r="A444" s="1">
        <v>443</v>
      </c>
      <c r="B444" s="1" t="s">
        <v>30</v>
      </c>
      <c r="C444" s="1">
        <v>2023</v>
      </c>
      <c r="D444" t="s">
        <v>8</v>
      </c>
      <c r="E444" s="3">
        <v>248680</v>
      </c>
      <c r="F444" s="3">
        <v>12004</v>
      </c>
      <c r="G444" s="13">
        <f>LN(F444/E444)</f>
        <v>-3.0309270018230161</v>
      </c>
      <c r="H444" s="4">
        <v>8</v>
      </c>
      <c r="I444" s="4">
        <f>((160*(1/10)*H444)+H444*(1/20)*874.5)*2</f>
        <v>955.6</v>
      </c>
      <c r="J444" s="12">
        <v>15767</v>
      </c>
      <c r="K444" s="12">
        <v>67093</v>
      </c>
      <c r="L444" s="14">
        <f t="shared" si="7"/>
        <v>8</v>
      </c>
    </row>
    <row r="445" spans="1:12" ht="19.5" x14ac:dyDescent="0.4">
      <c r="A445" s="1">
        <v>444</v>
      </c>
      <c r="B445" s="1" t="s">
        <v>30</v>
      </c>
      <c r="C445" s="1">
        <v>2023</v>
      </c>
      <c r="D445" t="s">
        <v>9</v>
      </c>
      <c r="E445" s="3">
        <v>289323</v>
      </c>
      <c r="F445" s="3">
        <v>3221</v>
      </c>
      <c r="G445" s="13">
        <f>LN(F445/E445)</f>
        <v>-4.4978518407196946</v>
      </c>
      <c r="H445" s="4">
        <v>16.2</v>
      </c>
      <c r="I445" s="4">
        <f>((160*(1/10)*H445)+H445*(1/20)*874.5)*2</f>
        <v>1935.0900000000001</v>
      </c>
      <c r="J445" s="12">
        <v>21442</v>
      </c>
      <c r="K445" s="12">
        <v>81653</v>
      </c>
      <c r="L445" s="14">
        <f t="shared" si="7"/>
        <v>16.2</v>
      </c>
    </row>
    <row r="446" spans="1:12" ht="19.5" x14ac:dyDescent="0.4">
      <c r="A446" s="1">
        <v>445</v>
      </c>
      <c r="B446" s="1" t="s">
        <v>30</v>
      </c>
      <c r="C446" s="1">
        <v>2023</v>
      </c>
      <c r="D446" t="s">
        <v>10</v>
      </c>
      <c r="E446" s="3">
        <v>265379</v>
      </c>
      <c r="F446" s="3">
        <v>1017</v>
      </c>
      <c r="G446" s="13">
        <f>LN(F446/E446)</f>
        <v>-5.5643018758532925</v>
      </c>
      <c r="H446" s="4">
        <v>16.2</v>
      </c>
      <c r="I446" s="4">
        <f>((160*(1/10)*H446)+H446*(1/20)*874.5)*2</f>
        <v>1935.0900000000001</v>
      </c>
      <c r="J446" s="12">
        <v>19571</v>
      </c>
      <c r="K446" s="12">
        <v>74654</v>
      </c>
      <c r="L446" s="14">
        <f t="shared" si="7"/>
        <v>16.2</v>
      </c>
    </row>
    <row r="447" spans="1:12" ht="19.5" x14ac:dyDescent="0.4">
      <c r="A447" s="1">
        <v>446</v>
      </c>
      <c r="B447" s="1" t="s">
        <v>30</v>
      </c>
      <c r="C447" s="1">
        <v>2023</v>
      </c>
      <c r="D447" t="s">
        <v>11</v>
      </c>
      <c r="E447" s="3">
        <v>211835</v>
      </c>
      <c r="F447" s="3">
        <v>1641</v>
      </c>
      <c r="G447" s="13">
        <f>LN(F447/E447)</f>
        <v>-4.8605018576431078</v>
      </c>
      <c r="H447" s="4">
        <v>16.8</v>
      </c>
      <c r="I447" s="4">
        <f>((160*(1/10)*H447)+H447*(1/20)*874.5)*2</f>
        <v>2006.7600000000002</v>
      </c>
      <c r="J447" s="12">
        <v>15073</v>
      </c>
      <c r="K447" s="12">
        <v>53700</v>
      </c>
      <c r="L447" s="14">
        <f t="shared" si="7"/>
        <v>16.8</v>
      </c>
    </row>
    <row r="448" spans="1:12" ht="19.5" x14ac:dyDescent="0.4">
      <c r="A448" s="1">
        <v>447</v>
      </c>
      <c r="B448" s="1" t="s">
        <v>30</v>
      </c>
      <c r="C448" s="1">
        <v>2023</v>
      </c>
      <c r="D448" t="s">
        <v>12</v>
      </c>
      <c r="E448" s="3">
        <v>125083</v>
      </c>
      <c r="F448" s="3">
        <v>643</v>
      </c>
      <c r="G448" s="13">
        <f>LN(F448/E448)</f>
        <v>-5.2705880716963547</v>
      </c>
      <c r="H448" s="4">
        <v>31.4</v>
      </c>
      <c r="I448" s="4">
        <f>((160*(1/10)*H448)+H448*(1/20)*874.5)*2</f>
        <v>3750.7300000000005</v>
      </c>
      <c r="J448" s="12">
        <v>7751</v>
      </c>
      <c r="K448" s="12">
        <v>40932</v>
      </c>
      <c r="L448" s="14">
        <f t="shared" si="7"/>
        <v>31.4</v>
      </c>
    </row>
    <row r="449" spans="1:12" ht="19.5" x14ac:dyDescent="0.4">
      <c r="A449" s="1">
        <v>448</v>
      </c>
      <c r="B449" s="1" t="s">
        <v>30</v>
      </c>
      <c r="C449" s="1">
        <v>2023</v>
      </c>
      <c r="D449" t="s">
        <v>13</v>
      </c>
      <c r="E449" s="3">
        <v>225298</v>
      </c>
      <c r="F449" s="3">
        <v>2644</v>
      </c>
      <c r="G449" s="13">
        <f>LN(F449/E449)</f>
        <v>-4.4451310483565392</v>
      </c>
      <c r="H449" s="4">
        <v>13.4</v>
      </c>
      <c r="I449" s="4">
        <f>((160*(1/10)*H449)+H449*(1/20)*874.5)*2</f>
        <v>1600.63</v>
      </c>
      <c r="J449" s="12">
        <v>15548</v>
      </c>
      <c r="K449" s="12">
        <v>59284</v>
      </c>
      <c r="L449" s="14">
        <f t="shared" si="7"/>
        <v>13.4</v>
      </c>
    </row>
    <row r="450" spans="1:12" ht="19.5" x14ac:dyDescent="0.4">
      <c r="A450" s="1">
        <v>449</v>
      </c>
      <c r="B450" s="1" t="s">
        <v>30</v>
      </c>
      <c r="C450" s="1">
        <v>2023</v>
      </c>
      <c r="D450" t="s">
        <v>14</v>
      </c>
      <c r="E450" s="3">
        <v>225298</v>
      </c>
      <c r="F450" s="3">
        <v>642</v>
      </c>
      <c r="G450" s="13">
        <f>LN(F450/E450)</f>
        <v>-5.8605909456381546</v>
      </c>
      <c r="H450" s="4">
        <v>30</v>
      </c>
      <c r="I450" s="4">
        <f>((160*(1/10)*H450)+H450*(1/20)*874.5)*2</f>
        <v>3583.5</v>
      </c>
      <c r="J450" s="12">
        <v>8519</v>
      </c>
      <c r="K450" s="12">
        <v>35078</v>
      </c>
      <c r="L450" s="14">
        <f t="shared" si="7"/>
        <v>30</v>
      </c>
    </row>
    <row r="451" spans="1:12" ht="19.5" x14ac:dyDescent="0.4">
      <c r="A451" s="1">
        <v>450</v>
      </c>
      <c r="B451" s="1" t="s">
        <v>30</v>
      </c>
      <c r="C451" s="1">
        <v>2023</v>
      </c>
      <c r="D451" t="s">
        <v>15</v>
      </c>
      <c r="E451" s="3">
        <v>135777</v>
      </c>
      <c r="F451" s="3">
        <v>1953</v>
      </c>
      <c r="G451" s="13">
        <f>LN(F451/E451)</f>
        <v>-4.2416471821701336</v>
      </c>
      <c r="H451" s="4">
        <v>17.399999999999999</v>
      </c>
      <c r="I451" s="4">
        <f>((160*(1/10)*H451)+H451*(1/20)*874.5)*2</f>
        <v>2078.4299999999998</v>
      </c>
      <c r="J451" s="12">
        <v>8295</v>
      </c>
      <c r="K451" s="12">
        <v>50017</v>
      </c>
      <c r="L451" s="14">
        <f t="shared" si="7"/>
        <v>17.399999999999999</v>
      </c>
    </row>
    <row r="452" spans="1:12" ht="19.5" x14ac:dyDescent="0.4">
      <c r="A452" s="1">
        <v>451</v>
      </c>
      <c r="B452" s="1" t="s">
        <v>30</v>
      </c>
      <c r="C452" s="1">
        <v>2023</v>
      </c>
      <c r="D452" t="s">
        <v>16</v>
      </c>
      <c r="E452" s="3">
        <v>217040</v>
      </c>
      <c r="F452" s="3">
        <v>3418</v>
      </c>
      <c r="G452" s="13">
        <f>LN(F452/E452)</f>
        <v>-4.1510260836572774</v>
      </c>
      <c r="H452" s="4">
        <v>11.4</v>
      </c>
      <c r="I452" s="4">
        <f>((160*(1/10)*H452)+H452*(1/20)*874.5)*2</f>
        <v>1361.73</v>
      </c>
      <c r="J452" s="12">
        <v>16187</v>
      </c>
      <c r="K452" s="12">
        <v>63371</v>
      </c>
      <c r="L452" s="14">
        <f t="shared" si="7"/>
        <v>11.4</v>
      </c>
    </row>
    <row r="453" spans="1:12" ht="19.5" x14ac:dyDescent="0.4">
      <c r="A453" s="1">
        <v>452</v>
      </c>
      <c r="B453" s="1" t="s">
        <v>30</v>
      </c>
      <c r="C453" s="1">
        <v>2023</v>
      </c>
      <c r="D453" t="s">
        <v>17</v>
      </c>
      <c r="E453" s="3">
        <v>142625</v>
      </c>
      <c r="F453" s="3">
        <v>1392</v>
      </c>
      <c r="G453" s="13">
        <f>LN(F453/E453)</f>
        <v>-4.629477246270012</v>
      </c>
      <c r="H453" s="4">
        <v>28.2</v>
      </c>
      <c r="I453" s="4">
        <f>((160*(1/10)*H453)+H453*(1/20)*874.5)*2</f>
        <v>3368.4900000000002</v>
      </c>
      <c r="J453" s="12">
        <v>10775</v>
      </c>
      <c r="K453" s="12">
        <v>46523</v>
      </c>
      <c r="L453" s="14">
        <f t="shared" si="7"/>
        <v>28.2</v>
      </c>
    </row>
    <row r="454" spans="1:12" ht="19.5" x14ac:dyDescent="0.4">
      <c r="A454" s="1">
        <v>453</v>
      </c>
      <c r="B454" s="1" t="s">
        <v>30</v>
      </c>
      <c r="C454" s="1">
        <v>2023</v>
      </c>
      <c r="D454" t="s">
        <v>18</v>
      </c>
      <c r="E454" s="3">
        <v>56869</v>
      </c>
      <c r="F454" s="3">
        <v>247</v>
      </c>
      <c r="G454" s="13">
        <f>LN(F454/E454)</f>
        <v>-5.4391173195548435</v>
      </c>
      <c r="H454" s="4">
        <v>38.6</v>
      </c>
      <c r="I454" s="4">
        <f>((160*(1/10)*H454)+H454*(1/20)*874.5)*2</f>
        <v>4610.7700000000004</v>
      </c>
      <c r="J454" s="12">
        <v>4168</v>
      </c>
      <c r="K454" s="12">
        <v>19403</v>
      </c>
      <c r="L454" s="14">
        <f t="shared" si="7"/>
        <v>38.6</v>
      </c>
    </row>
    <row r="455" spans="1:12" ht="19.5" x14ac:dyDescent="0.4">
      <c r="A455" s="1">
        <v>454</v>
      </c>
      <c r="B455" s="1" t="s">
        <v>30</v>
      </c>
      <c r="C455" s="1">
        <v>2023</v>
      </c>
      <c r="D455" t="s">
        <v>19</v>
      </c>
      <c r="E455" s="3">
        <v>121056</v>
      </c>
      <c r="F455" s="3">
        <v>272</v>
      </c>
      <c r="G455" s="13">
        <f>LN(F455/E455)</f>
        <v>-6.0982064611367583</v>
      </c>
      <c r="H455" s="4">
        <v>47.2</v>
      </c>
      <c r="I455" s="4">
        <f>((160*(1/10)*H455)+H455*(1/20)*874.5)*2</f>
        <v>5638.0400000000009</v>
      </c>
      <c r="J455" s="12">
        <v>8520</v>
      </c>
      <c r="K455" s="12">
        <v>38101</v>
      </c>
      <c r="L455" s="14">
        <f t="shared" si="7"/>
        <v>47.2</v>
      </c>
    </row>
    <row r="456" spans="1:12" ht="19.5" x14ac:dyDescent="0.4">
      <c r="A456" s="5">
        <v>455</v>
      </c>
      <c r="B456" s="5" t="s">
        <v>30</v>
      </c>
      <c r="C456" s="5">
        <v>2023</v>
      </c>
      <c r="D456" s="6" t="s">
        <v>20</v>
      </c>
      <c r="E456" s="7">
        <v>58171</v>
      </c>
      <c r="F456" s="7">
        <v>403</v>
      </c>
      <c r="G456" s="15">
        <f>LN(F456/E456)</f>
        <v>-4.9722056658022806</v>
      </c>
      <c r="H456" s="8">
        <v>50</v>
      </c>
      <c r="I456" s="8">
        <f>((160*(1/10)*H456)+H456*(1/20)*874.5)*2</f>
        <v>5972.5</v>
      </c>
      <c r="J456" s="10">
        <v>3816</v>
      </c>
      <c r="K456" s="10">
        <v>19636</v>
      </c>
      <c r="L456" s="16">
        <f t="shared" si="7"/>
        <v>50</v>
      </c>
    </row>
    <row r="457" spans="1:12" ht="19.5" x14ac:dyDescent="0.4">
      <c r="A457" s="1">
        <v>456</v>
      </c>
      <c r="B457" s="1" t="s">
        <v>30</v>
      </c>
      <c r="C457" s="1">
        <v>2024</v>
      </c>
      <c r="D457" t="s">
        <v>8</v>
      </c>
      <c r="E457" s="3">
        <v>248680</v>
      </c>
      <c r="F457" s="3">
        <v>13144</v>
      </c>
      <c r="G457" s="13">
        <f>LN(F457/E457)</f>
        <v>-2.9402015486661699</v>
      </c>
      <c r="H457" s="4">
        <v>8</v>
      </c>
      <c r="I457" s="4">
        <f>((160*(1/10)*H457)+H457*(1/20)*874.5)*2</f>
        <v>955.6</v>
      </c>
      <c r="J457" s="12">
        <v>15767</v>
      </c>
      <c r="K457" s="12">
        <v>67093</v>
      </c>
      <c r="L457" s="14">
        <f t="shared" si="7"/>
        <v>8</v>
      </c>
    </row>
    <row r="458" spans="1:12" ht="19.5" x14ac:dyDescent="0.4">
      <c r="A458" s="1">
        <v>457</v>
      </c>
      <c r="B458" s="1" t="s">
        <v>30</v>
      </c>
      <c r="C458" s="1">
        <v>2024</v>
      </c>
      <c r="D458" t="s">
        <v>9</v>
      </c>
      <c r="E458" s="3">
        <v>289323</v>
      </c>
      <c r="F458" s="3">
        <v>2123</v>
      </c>
      <c r="G458" s="13">
        <f>LN(F458/E458)</f>
        <v>-4.9147135283476366</v>
      </c>
      <c r="H458" s="4">
        <v>16.2</v>
      </c>
      <c r="I458" s="4">
        <f>((160*(1/10)*H458)+H458*(1/20)*874.5)*2</f>
        <v>1935.0900000000001</v>
      </c>
      <c r="J458" s="12">
        <v>21442</v>
      </c>
      <c r="K458" s="12">
        <v>81653</v>
      </c>
      <c r="L458" s="14">
        <f t="shared" si="7"/>
        <v>16.2</v>
      </c>
    </row>
    <row r="459" spans="1:12" ht="19.5" x14ac:dyDescent="0.4">
      <c r="A459" s="1">
        <v>458</v>
      </c>
      <c r="B459" s="1" t="s">
        <v>30</v>
      </c>
      <c r="C459" s="1">
        <v>2024</v>
      </c>
      <c r="D459" t="s">
        <v>10</v>
      </c>
      <c r="E459" s="3">
        <v>265379</v>
      </c>
      <c r="F459" s="3">
        <v>1873</v>
      </c>
      <c r="G459" s="13">
        <f>LN(F459/E459)</f>
        <v>-4.953617569457764</v>
      </c>
      <c r="H459" s="4">
        <v>16.2</v>
      </c>
      <c r="I459" s="4">
        <f>((160*(1/10)*H459)+H459*(1/20)*874.5)*2</f>
        <v>1935.0900000000001</v>
      </c>
      <c r="J459" s="12">
        <v>19571</v>
      </c>
      <c r="K459" s="12">
        <v>74654</v>
      </c>
      <c r="L459" s="14">
        <f t="shared" si="7"/>
        <v>16.2</v>
      </c>
    </row>
    <row r="460" spans="1:12" ht="19.5" x14ac:dyDescent="0.4">
      <c r="A460" s="1">
        <v>459</v>
      </c>
      <c r="B460" s="1" t="s">
        <v>30</v>
      </c>
      <c r="C460" s="1">
        <v>2024</v>
      </c>
      <c r="D460" t="s">
        <v>11</v>
      </c>
      <c r="E460" s="3">
        <v>211835</v>
      </c>
      <c r="F460" s="3">
        <v>1993</v>
      </c>
      <c r="G460" s="13">
        <f>LN(F460/E460)</f>
        <v>-4.6661666285204042</v>
      </c>
      <c r="H460" s="4">
        <v>16.8</v>
      </c>
      <c r="I460" s="4">
        <f>((160*(1/10)*H460)+H460*(1/20)*874.5)*2</f>
        <v>2006.7600000000002</v>
      </c>
      <c r="J460" s="12">
        <v>15073</v>
      </c>
      <c r="K460" s="12">
        <v>53700</v>
      </c>
      <c r="L460" s="14">
        <f t="shared" si="7"/>
        <v>16.8</v>
      </c>
    </row>
    <row r="461" spans="1:12" ht="19.5" x14ac:dyDescent="0.4">
      <c r="A461" s="1">
        <v>460</v>
      </c>
      <c r="B461" s="1" t="s">
        <v>30</v>
      </c>
      <c r="C461" s="1">
        <v>2024</v>
      </c>
      <c r="D461" t="s">
        <v>12</v>
      </c>
      <c r="E461" s="3">
        <v>125083</v>
      </c>
      <c r="F461" s="3">
        <v>1003</v>
      </c>
      <c r="G461" s="13">
        <f>LN(F461/E461)</f>
        <v>-4.8259820079720388</v>
      </c>
      <c r="H461" s="4">
        <v>31.4</v>
      </c>
      <c r="I461" s="4">
        <f>((160*(1/10)*H461)+H461*(1/20)*874.5)*2</f>
        <v>3750.7300000000005</v>
      </c>
      <c r="J461" s="12">
        <v>7751</v>
      </c>
      <c r="K461" s="12">
        <v>40932</v>
      </c>
      <c r="L461" s="14">
        <f t="shared" si="7"/>
        <v>31.4</v>
      </c>
    </row>
    <row r="462" spans="1:12" ht="19.5" x14ac:dyDescent="0.4">
      <c r="A462" s="1">
        <v>461</v>
      </c>
      <c r="B462" s="1" t="s">
        <v>30</v>
      </c>
      <c r="C462" s="1">
        <v>2024</v>
      </c>
      <c r="D462" t="s">
        <v>13</v>
      </c>
      <c r="E462" s="3">
        <v>225298</v>
      </c>
      <c r="F462" s="3">
        <v>1742</v>
      </c>
      <c r="G462" s="13">
        <f>LN(F462/E462)</f>
        <v>-4.8623900919156675</v>
      </c>
      <c r="H462" s="4">
        <v>13.4</v>
      </c>
      <c r="I462" s="4">
        <f>((160*(1/10)*H462)+H462*(1/20)*874.5)*2</f>
        <v>1600.63</v>
      </c>
      <c r="J462" s="12">
        <v>15548</v>
      </c>
      <c r="K462" s="12">
        <v>59284</v>
      </c>
      <c r="L462" s="14">
        <f t="shared" si="7"/>
        <v>13.4</v>
      </c>
    </row>
    <row r="463" spans="1:12" ht="19.5" x14ac:dyDescent="0.4">
      <c r="A463" s="1">
        <v>462</v>
      </c>
      <c r="B463" s="1" t="s">
        <v>30</v>
      </c>
      <c r="C463" s="1">
        <v>2024</v>
      </c>
      <c r="D463" t="s">
        <v>14</v>
      </c>
      <c r="E463" s="3">
        <v>225298</v>
      </c>
      <c r="F463" s="3">
        <v>1042</v>
      </c>
      <c r="G463" s="13">
        <f>LN(F463/E463)</f>
        <v>-5.3762820270148035</v>
      </c>
      <c r="H463" s="4">
        <v>30</v>
      </c>
      <c r="I463" s="4">
        <f>((160*(1/10)*H463)+H463*(1/20)*874.5)*2</f>
        <v>3583.5</v>
      </c>
      <c r="J463" s="12">
        <v>8519</v>
      </c>
      <c r="K463" s="12">
        <v>35078</v>
      </c>
      <c r="L463" s="14">
        <f t="shared" si="7"/>
        <v>30</v>
      </c>
    </row>
    <row r="464" spans="1:12" ht="19.5" x14ac:dyDescent="0.4">
      <c r="A464" s="1">
        <v>463</v>
      </c>
      <c r="B464" s="1" t="s">
        <v>30</v>
      </c>
      <c r="C464" s="1">
        <v>2024</v>
      </c>
      <c r="D464" t="s">
        <v>15</v>
      </c>
      <c r="E464" s="3">
        <v>135777</v>
      </c>
      <c r="F464" s="3">
        <v>1382</v>
      </c>
      <c r="G464" s="13">
        <f>LN(F464/E464)</f>
        <v>-4.5874821087191968</v>
      </c>
      <c r="H464" s="4">
        <v>17.399999999999999</v>
      </c>
      <c r="I464" s="4">
        <f>((160*(1/10)*H464)+H464*(1/20)*874.5)*2</f>
        <v>2078.4299999999998</v>
      </c>
      <c r="J464" s="12">
        <v>8295</v>
      </c>
      <c r="K464" s="12">
        <v>50017</v>
      </c>
      <c r="L464" s="14">
        <f t="shared" si="7"/>
        <v>17.399999999999999</v>
      </c>
    </row>
    <row r="465" spans="1:12" ht="19.5" x14ac:dyDescent="0.4">
      <c r="A465" s="1">
        <v>464</v>
      </c>
      <c r="B465" s="1" t="s">
        <v>30</v>
      </c>
      <c r="C465" s="1">
        <v>2024</v>
      </c>
      <c r="D465" t="s">
        <v>16</v>
      </c>
      <c r="E465" s="3">
        <v>217040</v>
      </c>
      <c r="F465" s="3">
        <v>3775</v>
      </c>
      <c r="G465" s="13">
        <f>LN(F465/E465)</f>
        <v>-4.0516812856496882</v>
      </c>
      <c r="H465" s="4">
        <v>11.4</v>
      </c>
      <c r="I465" s="4">
        <f>((160*(1/10)*H465)+H465*(1/20)*874.5)*2</f>
        <v>1361.73</v>
      </c>
      <c r="J465" s="12">
        <v>16187</v>
      </c>
      <c r="K465" s="12">
        <v>63371</v>
      </c>
      <c r="L465" s="14">
        <f t="shared" si="7"/>
        <v>11.4</v>
      </c>
    </row>
    <row r="466" spans="1:12" ht="19.5" x14ac:dyDescent="0.4">
      <c r="A466" s="1">
        <v>465</v>
      </c>
      <c r="B466" s="1" t="s">
        <v>30</v>
      </c>
      <c r="C466" s="1">
        <v>2024</v>
      </c>
      <c r="D466" t="s">
        <v>17</v>
      </c>
      <c r="E466" s="3">
        <v>142625</v>
      </c>
      <c r="F466" s="3">
        <v>934</v>
      </c>
      <c r="G466" s="13">
        <f>LN(F466/E466)</f>
        <v>-5.0284976489355344</v>
      </c>
      <c r="H466" s="4">
        <v>28.2</v>
      </c>
      <c r="I466" s="4">
        <f>((160*(1/10)*H466)+H466*(1/20)*874.5)*2</f>
        <v>3368.4900000000002</v>
      </c>
      <c r="J466" s="12">
        <v>10775</v>
      </c>
      <c r="K466" s="12">
        <v>46523</v>
      </c>
      <c r="L466" s="14">
        <f t="shared" si="7"/>
        <v>28.2</v>
      </c>
    </row>
    <row r="467" spans="1:12" ht="19.5" x14ac:dyDescent="0.4">
      <c r="A467" s="1">
        <v>466</v>
      </c>
      <c r="B467" s="1" t="s">
        <v>30</v>
      </c>
      <c r="C467" s="1">
        <v>2024</v>
      </c>
      <c r="D467" t="s">
        <v>18</v>
      </c>
      <c r="E467" s="3">
        <v>56869</v>
      </c>
      <c r="F467" s="3">
        <v>531</v>
      </c>
      <c r="G467" s="13">
        <f>LN(F467/E467)</f>
        <v>-4.6737436349408812</v>
      </c>
      <c r="H467" s="4">
        <v>38.6</v>
      </c>
      <c r="I467" s="4">
        <f>((160*(1/10)*H467)+H467*(1/20)*874.5)*2</f>
        <v>4610.7700000000004</v>
      </c>
      <c r="J467" s="12">
        <v>4168</v>
      </c>
      <c r="K467" s="12">
        <v>19403</v>
      </c>
      <c r="L467" s="14">
        <f t="shared" si="7"/>
        <v>38.6</v>
      </c>
    </row>
    <row r="468" spans="1:12" ht="19.5" x14ac:dyDescent="0.4">
      <c r="A468" s="1">
        <v>467</v>
      </c>
      <c r="B468" s="1" t="s">
        <v>30</v>
      </c>
      <c r="C468" s="1">
        <v>2024</v>
      </c>
      <c r="D468" t="s">
        <v>19</v>
      </c>
      <c r="E468" s="3">
        <v>121056</v>
      </c>
      <c r="F468" s="3">
        <v>808</v>
      </c>
      <c r="G468" s="13">
        <f>LN(F468/E468)</f>
        <v>-5.0094464689116602</v>
      </c>
      <c r="H468" s="4">
        <v>47.2</v>
      </c>
      <c r="I468" s="4">
        <f>((160*(1/10)*H468)+H468*(1/20)*874.5)*2</f>
        <v>5638.0400000000009</v>
      </c>
      <c r="J468" s="12">
        <v>8520</v>
      </c>
      <c r="K468" s="12">
        <v>38101</v>
      </c>
      <c r="L468" s="14">
        <f t="shared" si="7"/>
        <v>47.2</v>
      </c>
    </row>
    <row r="469" spans="1:12" ht="19.5" x14ac:dyDescent="0.4">
      <c r="A469" s="5">
        <v>468</v>
      </c>
      <c r="B469" s="5" t="s">
        <v>30</v>
      </c>
      <c r="C469" s="5">
        <v>2024</v>
      </c>
      <c r="D469" s="6" t="s">
        <v>20</v>
      </c>
      <c r="E469" s="7">
        <v>58171</v>
      </c>
      <c r="F469" s="7">
        <v>140</v>
      </c>
      <c r="G469" s="15">
        <f>LN(F469/E469)</f>
        <v>-6.0294998051396593</v>
      </c>
      <c r="H469" s="8">
        <v>50</v>
      </c>
      <c r="I469" s="8">
        <f>((160*(1/10)*H469)+H469*(1/20)*874.5)*2</f>
        <v>5972.5</v>
      </c>
      <c r="J469" s="10">
        <v>3816</v>
      </c>
      <c r="K469" s="10">
        <v>19636</v>
      </c>
      <c r="L469" s="16">
        <f t="shared" si="7"/>
        <v>50</v>
      </c>
    </row>
    <row r="470" spans="1:12" ht="19.5" x14ac:dyDescent="0.4">
      <c r="A470" s="1">
        <v>469</v>
      </c>
      <c r="B470" s="1" t="s">
        <v>31</v>
      </c>
      <c r="C470" s="1">
        <v>2018</v>
      </c>
      <c r="D470" t="s">
        <v>8</v>
      </c>
      <c r="E470" s="3">
        <v>248680</v>
      </c>
      <c r="F470" s="3">
        <v>257</v>
      </c>
      <c r="G470" s="13">
        <f>LN(F470/E470)</f>
        <v>-6.8748461234880542</v>
      </c>
      <c r="H470" s="4">
        <v>30</v>
      </c>
      <c r="I470" s="4">
        <f>((160*(1/10)*H470)+H470*(1/20)*874.5)*2</f>
        <v>3583.5</v>
      </c>
      <c r="J470" s="12">
        <v>15767</v>
      </c>
      <c r="K470" s="12">
        <v>67093</v>
      </c>
      <c r="L470" s="14">
        <f t="shared" si="7"/>
        <v>30</v>
      </c>
    </row>
    <row r="471" spans="1:12" ht="19.5" x14ac:dyDescent="0.4">
      <c r="A471" s="1">
        <v>470</v>
      </c>
      <c r="B471" s="1" t="s">
        <v>31</v>
      </c>
      <c r="C471" s="1">
        <v>2018</v>
      </c>
      <c r="D471" t="s">
        <v>9</v>
      </c>
      <c r="E471" s="3">
        <v>289323</v>
      </c>
      <c r="F471" s="3">
        <v>665</v>
      </c>
      <c r="G471" s="13">
        <f>LN(F471/E471)</f>
        <v>-6.0755119493950387</v>
      </c>
      <c r="H471" s="4">
        <v>37.6</v>
      </c>
      <c r="I471" s="4">
        <f>((160*(1/10)*H471)+H471*(1/20)*874.5)*2</f>
        <v>4491.3200000000006</v>
      </c>
      <c r="J471" s="12">
        <v>21442</v>
      </c>
      <c r="K471" s="12">
        <v>81653</v>
      </c>
      <c r="L471" s="14">
        <f t="shared" si="7"/>
        <v>37.6</v>
      </c>
    </row>
    <row r="472" spans="1:12" ht="19.5" x14ac:dyDescent="0.4">
      <c r="A472" s="1">
        <v>471</v>
      </c>
      <c r="B472" s="1" t="s">
        <v>31</v>
      </c>
      <c r="C472" s="1">
        <v>2018</v>
      </c>
      <c r="D472" t="s">
        <v>10</v>
      </c>
      <c r="E472" s="3">
        <v>265379</v>
      </c>
      <c r="F472" s="3">
        <v>1625</v>
      </c>
      <c r="G472" s="13">
        <f>LN(F472/E472)</f>
        <v>-5.0956511771380146</v>
      </c>
      <c r="H472" s="4">
        <v>26.8</v>
      </c>
      <c r="I472" s="4">
        <f>((160*(1/10)*H472)+H472*(1/20)*874.5)*2</f>
        <v>3201.26</v>
      </c>
      <c r="J472" s="12">
        <v>19571</v>
      </c>
      <c r="K472" s="12">
        <v>74654</v>
      </c>
      <c r="L472" s="14">
        <f t="shared" si="7"/>
        <v>26.8</v>
      </c>
    </row>
    <row r="473" spans="1:12" ht="19.5" x14ac:dyDescent="0.4">
      <c r="A473" s="1">
        <v>472</v>
      </c>
      <c r="B473" s="1" t="s">
        <v>31</v>
      </c>
      <c r="C473" s="1">
        <v>2018</v>
      </c>
      <c r="D473" t="s">
        <v>11</v>
      </c>
      <c r="E473" s="3">
        <v>211835</v>
      </c>
      <c r="F473" s="3">
        <v>1768</v>
      </c>
      <c r="G473" s="13">
        <f>LN(F473/E473)</f>
        <v>-4.7859587055356103</v>
      </c>
      <c r="H473" s="4">
        <v>17</v>
      </c>
      <c r="I473" s="4">
        <f>((160*(1/10)*H473)+H473*(1/20)*874.5)*2</f>
        <v>2030.65</v>
      </c>
      <c r="J473" s="12">
        <v>15073</v>
      </c>
      <c r="K473" s="12">
        <v>53700</v>
      </c>
      <c r="L473" s="14">
        <f t="shared" si="7"/>
        <v>17</v>
      </c>
    </row>
    <row r="474" spans="1:12" ht="19.5" x14ac:dyDescent="0.4">
      <c r="A474" s="1">
        <v>473</v>
      </c>
      <c r="B474" s="1" t="s">
        <v>31</v>
      </c>
      <c r="C474" s="1">
        <v>2018</v>
      </c>
      <c r="D474" t="s">
        <v>12</v>
      </c>
      <c r="E474" s="3">
        <v>125083</v>
      </c>
      <c r="F474" s="3">
        <v>4381</v>
      </c>
      <c r="G474" s="13">
        <f>LN(F474/E474)</f>
        <v>-3.3517005081200759</v>
      </c>
      <c r="H474" s="4">
        <v>7.2</v>
      </c>
      <c r="I474" s="4">
        <f>((160*(1/10)*H474)+H474*(1/20)*874.5)*2</f>
        <v>860.04000000000008</v>
      </c>
      <c r="J474" s="12">
        <v>7751</v>
      </c>
      <c r="K474" s="12">
        <v>40932</v>
      </c>
      <c r="L474" s="14">
        <f t="shared" si="7"/>
        <v>7.2</v>
      </c>
    </row>
    <row r="475" spans="1:12" ht="19.5" x14ac:dyDescent="0.4">
      <c r="A475" s="1">
        <v>474</v>
      </c>
      <c r="B475" s="1" t="s">
        <v>31</v>
      </c>
      <c r="C475" s="1">
        <v>2018</v>
      </c>
      <c r="D475" t="s">
        <v>13</v>
      </c>
      <c r="E475" s="3">
        <v>225298</v>
      </c>
      <c r="F475" s="3">
        <v>2518</v>
      </c>
      <c r="G475" s="13">
        <f>LN(F475/E475)</f>
        <v>-4.4939590347238232</v>
      </c>
      <c r="H475" s="4">
        <v>20.399999999999999</v>
      </c>
      <c r="I475" s="4">
        <f>((160*(1/10)*H475)+H475*(1/20)*874.5)*2</f>
        <v>2436.7799999999997</v>
      </c>
      <c r="J475" s="12">
        <v>15548</v>
      </c>
      <c r="K475" s="12">
        <v>59284</v>
      </c>
      <c r="L475" s="14">
        <f t="shared" si="7"/>
        <v>20.399999999999999</v>
      </c>
    </row>
    <row r="476" spans="1:12" ht="19.5" x14ac:dyDescent="0.4">
      <c r="A476" s="1">
        <v>475</v>
      </c>
      <c r="B476" s="1" t="s">
        <v>31</v>
      </c>
      <c r="C476" s="1">
        <v>2018</v>
      </c>
      <c r="D476" t="s">
        <v>14</v>
      </c>
      <c r="E476" s="3">
        <v>225298</v>
      </c>
      <c r="F476" s="3">
        <v>38815</v>
      </c>
      <c r="G476" s="13">
        <f>LN(F476/E476)</f>
        <v>-1.7586172004883354</v>
      </c>
      <c r="H476" s="4">
        <v>8.8000000000000007</v>
      </c>
      <c r="I476" s="4">
        <f>((160*(1/10)*H476)+H476*(1/20)*874.5)*2</f>
        <v>1051.1600000000001</v>
      </c>
      <c r="J476" s="12">
        <v>8519</v>
      </c>
      <c r="K476" s="12">
        <v>35078</v>
      </c>
      <c r="L476" s="14">
        <f t="shared" si="7"/>
        <v>8.8000000000000007</v>
      </c>
    </row>
    <row r="477" spans="1:12" ht="19.5" x14ac:dyDescent="0.4">
      <c r="A477" s="1">
        <v>476</v>
      </c>
      <c r="B477" s="1" t="s">
        <v>31</v>
      </c>
      <c r="C477" s="1">
        <v>2018</v>
      </c>
      <c r="D477" t="s">
        <v>15</v>
      </c>
      <c r="E477" s="3">
        <v>135777</v>
      </c>
      <c r="F477" s="3">
        <v>1986</v>
      </c>
      <c r="G477" s="13">
        <f>LN(F477/E477)</f>
        <v>-4.2248912684416942</v>
      </c>
      <c r="H477" s="4">
        <v>28.8</v>
      </c>
      <c r="I477" s="4">
        <f>((160*(1/10)*H477)+H477*(1/20)*874.5)*2</f>
        <v>3440.1600000000003</v>
      </c>
      <c r="J477" s="12">
        <v>8295</v>
      </c>
      <c r="K477" s="12">
        <v>50017</v>
      </c>
      <c r="L477" s="14">
        <f t="shared" si="7"/>
        <v>28.8</v>
      </c>
    </row>
    <row r="478" spans="1:12" ht="19.5" x14ac:dyDescent="0.4">
      <c r="A478" s="1">
        <v>477</v>
      </c>
      <c r="B478" s="1" t="s">
        <v>31</v>
      </c>
      <c r="C478" s="1">
        <v>2018</v>
      </c>
      <c r="D478" t="s">
        <v>16</v>
      </c>
      <c r="E478" s="3">
        <v>217040</v>
      </c>
      <c r="F478" s="3">
        <v>1425</v>
      </c>
      <c r="G478" s="13">
        <f>LN(F478/E478)</f>
        <v>-5.0259098546300622</v>
      </c>
      <c r="H478" s="4">
        <v>48.8</v>
      </c>
      <c r="I478" s="4">
        <f>((160*(1/10)*H478)+H478*(1/20)*874.5)*2</f>
        <v>5829.16</v>
      </c>
      <c r="J478" s="12">
        <v>16187</v>
      </c>
      <c r="K478" s="12">
        <v>63371</v>
      </c>
      <c r="L478" s="14">
        <f t="shared" ref="L478:L541" si="8">H478</f>
        <v>48.8</v>
      </c>
    </row>
    <row r="479" spans="1:12" ht="19.5" x14ac:dyDescent="0.4">
      <c r="A479" s="1">
        <v>478</v>
      </c>
      <c r="B479" s="1" t="s">
        <v>31</v>
      </c>
      <c r="C479" s="1">
        <v>2018</v>
      </c>
      <c r="D479" t="s">
        <v>17</v>
      </c>
      <c r="E479" s="3">
        <v>142625</v>
      </c>
      <c r="F479" s="3">
        <v>450</v>
      </c>
      <c r="G479" s="13">
        <f>LN(F479/E479)</f>
        <v>-5.7587265044000118</v>
      </c>
      <c r="H479" s="4">
        <v>58.4</v>
      </c>
      <c r="I479" s="4">
        <f>((160*(1/10)*H479)+H479*(1/20)*874.5)*2</f>
        <v>6975.88</v>
      </c>
      <c r="J479" s="12">
        <v>10775</v>
      </c>
      <c r="K479" s="12">
        <v>46523</v>
      </c>
      <c r="L479" s="14">
        <f t="shared" si="8"/>
        <v>58.4</v>
      </c>
    </row>
    <row r="480" spans="1:12" ht="19.5" x14ac:dyDescent="0.4">
      <c r="A480" s="1">
        <v>479</v>
      </c>
      <c r="B480" s="1" t="s">
        <v>31</v>
      </c>
      <c r="C480" s="1">
        <v>2018</v>
      </c>
      <c r="D480" t="s">
        <v>18</v>
      </c>
      <c r="E480" s="3">
        <v>56869</v>
      </c>
      <c r="F480" s="3">
        <v>243</v>
      </c>
      <c r="G480" s="13">
        <f>LN(F480/E480)</f>
        <v>-5.4554442128422718</v>
      </c>
      <c r="H480" s="4">
        <v>52.8</v>
      </c>
      <c r="I480" s="4">
        <f>((160*(1/10)*H480)+H480*(1/20)*874.5)*2</f>
        <v>6306.9600000000009</v>
      </c>
      <c r="J480" s="12">
        <v>4168</v>
      </c>
      <c r="K480" s="12">
        <v>19403</v>
      </c>
      <c r="L480" s="14">
        <f t="shared" si="8"/>
        <v>52.8</v>
      </c>
    </row>
    <row r="481" spans="1:12" ht="19.5" x14ac:dyDescent="0.4">
      <c r="A481" s="1">
        <v>480</v>
      </c>
      <c r="B481" s="1" t="s">
        <v>31</v>
      </c>
      <c r="C481" s="1">
        <v>2018</v>
      </c>
      <c r="D481" t="s">
        <v>19</v>
      </c>
      <c r="E481" s="3">
        <v>121056</v>
      </c>
      <c r="F481" s="3">
        <v>906</v>
      </c>
      <c r="G481" s="13">
        <f>LN(F481/E481)</f>
        <v>-4.8949692213897764</v>
      </c>
      <c r="H481" s="4">
        <v>26.8</v>
      </c>
      <c r="I481" s="4">
        <f>((160*(1/10)*H481)+H481*(1/20)*874.5)*2</f>
        <v>3201.26</v>
      </c>
      <c r="J481" s="12">
        <v>8520</v>
      </c>
      <c r="K481" s="12">
        <v>38101</v>
      </c>
      <c r="L481" s="14">
        <f t="shared" si="8"/>
        <v>26.8</v>
      </c>
    </row>
    <row r="482" spans="1:12" ht="19.5" x14ac:dyDescent="0.4">
      <c r="A482" s="5">
        <v>481</v>
      </c>
      <c r="B482" s="5" t="s">
        <v>31</v>
      </c>
      <c r="C482" s="5">
        <v>2018</v>
      </c>
      <c r="D482" s="6" t="s">
        <v>20</v>
      </c>
      <c r="E482" s="7">
        <v>58171</v>
      </c>
      <c r="F482" s="7">
        <v>1982</v>
      </c>
      <c r="G482" s="15">
        <f>LN(F482/E482)</f>
        <v>-3.3792805128590309</v>
      </c>
      <c r="H482" s="8">
        <v>21</v>
      </c>
      <c r="I482" s="8">
        <f>((160*(1/10)*H482)+H482*(1/20)*874.5)*2</f>
        <v>2508.4499999999998</v>
      </c>
      <c r="J482" s="10">
        <v>3816</v>
      </c>
      <c r="K482" s="10">
        <v>19636</v>
      </c>
      <c r="L482" s="16">
        <f t="shared" si="8"/>
        <v>21</v>
      </c>
    </row>
    <row r="483" spans="1:12" ht="19.5" x14ac:dyDescent="0.4">
      <c r="A483" s="1">
        <v>482</v>
      </c>
      <c r="B483" s="1" t="s">
        <v>31</v>
      </c>
      <c r="C483" s="1">
        <v>2019</v>
      </c>
      <c r="D483" t="s">
        <v>8</v>
      </c>
      <c r="E483" s="3">
        <v>248680</v>
      </c>
      <c r="F483" s="3">
        <v>1763</v>
      </c>
      <c r="G483" s="13">
        <f>LN(F483/E483)</f>
        <v>-4.9491500259854035</v>
      </c>
      <c r="H483" s="4">
        <v>30</v>
      </c>
      <c r="I483" s="4">
        <f>((160*(1/10)*H483)+H483*(1/20)*874.5)*2</f>
        <v>3583.5</v>
      </c>
      <c r="J483" s="12">
        <v>15767</v>
      </c>
      <c r="K483" s="12">
        <v>67093</v>
      </c>
      <c r="L483" s="14">
        <f t="shared" si="8"/>
        <v>30</v>
      </c>
    </row>
    <row r="484" spans="1:12" ht="19.5" x14ac:dyDescent="0.4">
      <c r="A484" s="1">
        <v>483</v>
      </c>
      <c r="B484" s="1" t="s">
        <v>31</v>
      </c>
      <c r="C484" s="1">
        <v>2019</v>
      </c>
      <c r="D484" t="s">
        <v>9</v>
      </c>
      <c r="E484" s="3">
        <v>289323</v>
      </c>
      <c r="F484" s="3">
        <v>1833</v>
      </c>
      <c r="G484" s="13">
        <f>LN(F484/E484)</f>
        <v>-5.0615897422111882</v>
      </c>
      <c r="H484" s="4">
        <v>37.6</v>
      </c>
      <c r="I484" s="4">
        <f>((160*(1/10)*H484)+H484*(1/20)*874.5)*2</f>
        <v>4491.3200000000006</v>
      </c>
      <c r="J484" s="12">
        <v>21442</v>
      </c>
      <c r="K484" s="12">
        <v>81653</v>
      </c>
      <c r="L484" s="14">
        <f t="shared" si="8"/>
        <v>37.6</v>
      </c>
    </row>
    <row r="485" spans="1:12" ht="19.5" x14ac:dyDescent="0.4">
      <c r="A485" s="1">
        <v>484</v>
      </c>
      <c r="B485" s="1" t="s">
        <v>31</v>
      </c>
      <c r="C485" s="1">
        <v>2019</v>
      </c>
      <c r="D485" t="s">
        <v>10</v>
      </c>
      <c r="E485" s="3">
        <v>265379</v>
      </c>
      <c r="F485" s="3">
        <v>939</v>
      </c>
      <c r="G485" s="13">
        <f>LN(F485/E485)</f>
        <v>-5.6440987926935895</v>
      </c>
      <c r="H485" s="4">
        <v>26.8</v>
      </c>
      <c r="I485" s="4">
        <f>((160*(1/10)*H485)+H485*(1/20)*874.5)*2</f>
        <v>3201.26</v>
      </c>
      <c r="J485" s="12">
        <v>19571</v>
      </c>
      <c r="K485" s="12">
        <v>74654</v>
      </c>
      <c r="L485" s="14">
        <f t="shared" si="8"/>
        <v>26.8</v>
      </c>
    </row>
    <row r="486" spans="1:12" ht="19.5" x14ac:dyDescent="0.4">
      <c r="A486" s="1">
        <v>485</v>
      </c>
      <c r="B486" s="1" t="s">
        <v>31</v>
      </c>
      <c r="C486" s="1">
        <v>2019</v>
      </c>
      <c r="D486" t="s">
        <v>11</v>
      </c>
      <c r="E486" s="3">
        <v>211835</v>
      </c>
      <c r="F486" s="3">
        <v>4267</v>
      </c>
      <c r="G486" s="13">
        <f>LN(F486/E486)</f>
        <v>-3.9048966655451984</v>
      </c>
      <c r="H486" s="4">
        <v>17</v>
      </c>
      <c r="I486" s="4">
        <f>((160*(1/10)*H486)+H486*(1/20)*874.5)*2</f>
        <v>2030.65</v>
      </c>
      <c r="J486" s="12">
        <v>15073</v>
      </c>
      <c r="K486" s="12">
        <v>53700</v>
      </c>
      <c r="L486" s="14">
        <f t="shared" si="8"/>
        <v>17</v>
      </c>
    </row>
    <row r="487" spans="1:12" ht="19.5" x14ac:dyDescent="0.4">
      <c r="A487" s="1">
        <v>486</v>
      </c>
      <c r="B487" s="1" t="s">
        <v>31</v>
      </c>
      <c r="C487" s="1">
        <v>2019</v>
      </c>
      <c r="D487" t="s">
        <v>12</v>
      </c>
      <c r="E487" s="3">
        <v>125083</v>
      </c>
      <c r="F487" s="3">
        <v>12371</v>
      </c>
      <c r="G487" s="13">
        <f>LN(F487/E487)</f>
        <v>-2.3136224930711431</v>
      </c>
      <c r="H487" s="4">
        <v>7.2</v>
      </c>
      <c r="I487" s="4">
        <f>((160*(1/10)*H487)+H487*(1/20)*874.5)*2</f>
        <v>860.04000000000008</v>
      </c>
      <c r="J487" s="12">
        <v>7751</v>
      </c>
      <c r="K487" s="12">
        <v>40932</v>
      </c>
      <c r="L487" s="14">
        <f t="shared" si="8"/>
        <v>7.2</v>
      </c>
    </row>
    <row r="488" spans="1:12" ht="19.5" x14ac:dyDescent="0.4">
      <c r="A488" s="1">
        <v>487</v>
      </c>
      <c r="B488" s="1" t="s">
        <v>31</v>
      </c>
      <c r="C488" s="1">
        <v>2019</v>
      </c>
      <c r="D488" t="s">
        <v>13</v>
      </c>
      <c r="E488" s="3">
        <v>225298</v>
      </c>
      <c r="F488" s="3">
        <v>3915</v>
      </c>
      <c r="G488" s="13">
        <f>LN(F488/E488)</f>
        <v>-4.0526086409032125</v>
      </c>
      <c r="H488" s="4">
        <v>20.399999999999999</v>
      </c>
      <c r="I488" s="4">
        <f>((160*(1/10)*H488)+H488*(1/20)*874.5)*2</f>
        <v>2436.7799999999997</v>
      </c>
      <c r="J488" s="12">
        <v>15548</v>
      </c>
      <c r="K488" s="12">
        <v>59284</v>
      </c>
      <c r="L488" s="14">
        <f t="shared" si="8"/>
        <v>20.399999999999999</v>
      </c>
    </row>
    <row r="489" spans="1:12" ht="19.5" x14ac:dyDescent="0.4">
      <c r="A489" s="1">
        <v>488</v>
      </c>
      <c r="B489" s="1" t="s">
        <v>31</v>
      </c>
      <c r="C489" s="1">
        <v>2019</v>
      </c>
      <c r="D489" t="s">
        <v>14</v>
      </c>
      <c r="E489" s="3">
        <v>225298</v>
      </c>
      <c r="F489" s="3">
        <v>39475</v>
      </c>
      <c r="G489" s="13">
        <f>LN(F489/E489)</f>
        <v>-1.7417564102042733</v>
      </c>
      <c r="H489" s="4">
        <v>8.8000000000000007</v>
      </c>
      <c r="I489" s="4">
        <f>((160*(1/10)*H489)+H489*(1/20)*874.5)*2</f>
        <v>1051.1600000000001</v>
      </c>
      <c r="J489" s="12">
        <v>8519</v>
      </c>
      <c r="K489" s="12">
        <v>35078</v>
      </c>
      <c r="L489" s="14">
        <f t="shared" si="8"/>
        <v>8.8000000000000007</v>
      </c>
    </row>
    <row r="490" spans="1:12" ht="19.5" x14ac:dyDescent="0.4">
      <c r="A490" s="1">
        <v>489</v>
      </c>
      <c r="B490" s="1" t="s">
        <v>31</v>
      </c>
      <c r="C490" s="1">
        <v>2019</v>
      </c>
      <c r="D490" t="s">
        <v>15</v>
      </c>
      <c r="E490" s="3">
        <v>135777</v>
      </c>
      <c r="F490" s="3">
        <v>1405</v>
      </c>
      <c r="G490" s="13">
        <f>LN(F490/E490)</f>
        <v>-4.5709765312789665</v>
      </c>
      <c r="H490" s="4">
        <v>28.8</v>
      </c>
      <c r="I490" s="4">
        <f>((160*(1/10)*H490)+H490*(1/20)*874.5)*2</f>
        <v>3440.1600000000003</v>
      </c>
      <c r="J490" s="12">
        <v>8295</v>
      </c>
      <c r="K490" s="12">
        <v>50017</v>
      </c>
      <c r="L490" s="14">
        <f t="shared" si="8"/>
        <v>28.8</v>
      </c>
    </row>
    <row r="491" spans="1:12" ht="19.5" x14ac:dyDescent="0.4">
      <c r="A491" s="1">
        <v>490</v>
      </c>
      <c r="B491" s="1" t="s">
        <v>31</v>
      </c>
      <c r="C491" s="1">
        <v>2019</v>
      </c>
      <c r="D491" t="s">
        <v>16</v>
      </c>
      <c r="E491" s="3">
        <v>217040</v>
      </c>
      <c r="F491" s="3">
        <v>1179</v>
      </c>
      <c r="G491" s="13">
        <f>LN(F491/E491)</f>
        <v>-5.2154150467954423</v>
      </c>
      <c r="H491" s="4">
        <v>48.8</v>
      </c>
      <c r="I491" s="4">
        <f>((160*(1/10)*H491)+H491*(1/20)*874.5)*2</f>
        <v>5829.16</v>
      </c>
      <c r="J491" s="12">
        <v>16187</v>
      </c>
      <c r="K491" s="12">
        <v>63371</v>
      </c>
      <c r="L491" s="14">
        <f t="shared" si="8"/>
        <v>48.8</v>
      </c>
    </row>
    <row r="492" spans="1:12" ht="19.5" x14ac:dyDescent="0.4">
      <c r="A492" s="1">
        <v>491</v>
      </c>
      <c r="B492" s="1" t="s">
        <v>31</v>
      </c>
      <c r="C492" s="1">
        <v>2019</v>
      </c>
      <c r="D492" t="s">
        <v>17</v>
      </c>
      <c r="E492" s="3">
        <v>142625</v>
      </c>
      <c r="F492" s="3">
        <v>547</v>
      </c>
      <c r="G492" s="13">
        <f>LN(F492/E492)</f>
        <v>-5.5635252847423953</v>
      </c>
      <c r="H492" s="4">
        <v>58.4</v>
      </c>
      <c r="I492" s="4">
        <f>((160*(1/10)*H492)+H492*(1/20)*874.5)*2</f>
        <v>6975.88</v>
      </c>
      <c r="J492" s="12">
        <v>10775</v>
      </c>
      <c r="K492" s="12">
        <v>46523</v>
      </c>
      <c r="L492" s="14">
        <f t="shared" si="8"/>
        <v>58.4</v>
      </c>
    </row>
    <row r="493" spans="1:12" ht="19.5" x14ac:dyDescent="0.4">
      <c r="A493" s="1">
        <v>492</v>
      </c>
      <c r="B493" s="1" t="s">
        <v>31</v>
      </c>
      <c r="C493" s="1">
        <v>2019</v>
      </c>
      <c r="D493" t="s">
        <v>18</v>
      </c>
      <c r="E493" s="3">
        <v>56869</v>
      </c>
      <c r="F493" s="3">
        <v>83</v>
      </c>
      <c r="G493" s="13">
        <f>LN(F493/E493)</f>
        <v>-6.5296650483862226</v>
      </c>
      <c r="H493" s="4">
        <v>52.8</v>
      </c>
      <c r="I493" s="4">
        <f>((160*(1/10)*H493)+H493*(1/20)*874.5)*2</f>
        <v>6306.9600000000009</v>
      </c>
      <c r="J493" s="12">
        <v>4168</v>
      </c>
      <c r="K493" s="12">
        <v>19403</v>
      </c>
      <c r="L493" s="14">
        <f t="shared" si="8"/>
        <v>52.8</v>
      </c>
    </row>
    <row r="494" spans="1:12" ht="19.5" x14ac:dyDescent="0.4">
      <c r="A494" s="1">
        <v>493</v>
      </c>
      <c r="B494" s="1" t="s">
        <v>31</v>
      </c>
      <c r="C494" s="1">
        <v>2019</v>
      </c>
      <c r="D494" t="s">
        <v>19</v>
      </c>
      <c r="E494" s="3">
        <v>121056</v>
      </c>
      <c r="F494" s="3">
        <v>2151</v>
      </c>
      <c r="G494" s="13">
        <f>LN(F494/E494)</f>
        <v>-4.030320398165026</v>
      </c>
      <c r="H494" s="4">
        <v>26.8</v>
      </c>
      <c r="I494" s="4">
        <f>((160*(1/10)*H494)+H494*(1/20)*874.5)*2</f>
        <v>3201.26</v>
      </c>
      <c r="J494" s="12">
        <v>8520</v>
      </c>
      <c r="K494" s="12">
        <v>38101</v>
      </c>
      <c r="L494" s="14">
        <f t="shared" si="8"/>
        <v>26.8</v>
      </c>
    </row>
    <row r="495" spans="1:12" ht="19.5" x14ac:dyDescent="0.4">
      <c r="A495" s="5">
        <v>494</v>
      </c>
      <c r="B495" s="5" t="s">
        <v>31</v>
      </c>
      <c r="C495" s="5">
        <v>2019</v>
      </c>
      <c r="D495" s="6" t="s">
        <v>20</v>
      </c>
      <c r="E495" s="7">
        <v>58171</v>
      </c>
      <c r="F495" s="7">
        <v>4042</v>
      </c>
      <c r="G495" s="15">
        <f>LN(F495/E495)</f>
        <v>-2.6666473297853979</v>
      </c>
      <c r="H495" s="8">
        <v>21</v>
      </c>
      <c r="I495" s="8">
        <f>((160*(1/10)*H495)+H495*(1/20)*874.5)*2</f>
        <v>2508.4499999999998</v>
      </c>
      <c r="J495" s="10">
        <v>3816</v>
      </c>
      <c r="K495" s="10">
        <v>19636</v>
      </c>
      <c r="L495" s="16">
        <f t="shared" si="8"/>
        <v>21</v>
      </c>
    </row>
    <row r="496" spans="1:12" ht="19.5" x14ac:dyDescent="0.4">
      <c r="A496" s="1">
        <v>495</v>
      </c>
      <c r="B496" s="1" t="s">
        <v>31</v>
      </c>
      <c r="C496" s="1">
        <v>2023</v>
      </c>
      <c r="D496" t="s">
        <v>8</v>
      </c>
      <c r="E496" s="3">
        <v>248680</v>
      </c>
      <c r="F496" s="3">
        <v>2936</v>
      </c>
      <c r="G496" s="13">
        <f>LN(F496/E496)</f>
        <v>-4.4391188186488675</v>
      </c>
      <c r="H496" s="4">
        <v>30</v>
      </c>
      <c r="I496" s="4">
        <f>((160*(1/10)*H496)+H496*(1/20)*874.5)*2</f>
        <v>3583.5</v>
      </c>
      <c r="J496" s="12">
        <v>15767</v>
      </c>
      <c r="K496" s="12">
        <v>67093</v>
      </c>
      <c r="L496" s="14">
        <f t="shared" si="8"/>
        <v>30</v>
      </c>
    </row>
    <row r="497" spans="1:12" ht="19.5" x14ac:dyDescent="0.4">
      <c r="A497" s="1">
        <v>496</v>
      </c>
      <c r="B497" s="1" t="s">
        <v>31</v>
      </c>
      <c r="C497" s="1">
        <v>2023</v>
      </c>
      <c r="D497" t="s">
        <v>9</v>
      </c>
      <c r="E497" s="3">
        <v>289323</v>
      </c>
      <c r="F497" s="3">
        <v>1162</v>
      </c>
      <c r="G497" s="13">
        <f>LN(F497/E497)</f>
        <v>-5.5174010526390367</v>
      </c>
      <c r="H497" s="4">
        <v>37.6</v>
      </c>
      <c r="I497" s="4">
        <f>((160*(1/10)*H497)+H497*(1/20)*874.5)*2</f>
        <v>4491.3200000000006</v>
      </c>
      <c r="J497" s="12">
        <v>21442</v>
      </c>
      <c r="K497" s="12">
        <v>81653</v>
      </c>
      <c r="L497" s="14">
        <f t="shared" si="8"/>
        <v>37.6</v>
      </c>
    </row>
    <row r="498" spans="1:12" ht="19.5" x14ac:dyDescent="0.4">
      <c r="A498" s="1">
        <v>497</v>
      </c>
      <c r="B498" s="1" t="s">
        <v>31</v>
      </c>
      <c r="C498" s="1">
        <v>2023</v>
      </c>
      <c r="D498" t="s">
        <v>10</v>
      </c>
      <c r="E498" s="3">
        <v>265379</v>
      </c>
      <c r="F498" s="3">
        <v>816</v>
      </c>
      <c r="G498" s="13">
        <f>LN(F498/E498)</f>
        <v>-5.7844999169377456</v>
      </c>
      <c r="H498" s="4">
        <v>26.8</v>
      </c>
      <c r="I498" s="4">
        <f>((160*(1/10)*H498)+H498*(1/20)*874.5)*2</f>
        <v>3201.26</v>
      </c>
      <c r="J498" s="12">
        <v>19571</v>
      </c>
      <c r="K498" s="12">
        <v>74654</v>
      </c>
      <c r="L498" s="14">
        <f t="shared" si="8"/>
        <v>26.8</v>
      </c>
    </row>
    <row r="499" spans="1:12" ht="19.5" x14ac:dyDescent="0.4">
      <c r="A499" s="1">
        <v>498</v>
      </c>
      <c r="B499" s="1" t="s">
        <v>31</v>
      </c>
      <c r="C499" s="1">
        <v>2023</v>
      </c>
      <c r="D499" t="s">
        <v>11</v>
      </c>
      <c r="E499" s="3">
        <v>211835</v>
      </c>
      <c r="F499" s="3">
        <v>3044</v>
      </c>
      <c r="G499" s="13">
        <f>LN(F499/E499)</f>
        <v>-4.2426352297516221</v>
      </c>
      <c r="H499" s="4">
        <v>17</v>
      </c>
      <c r="I499" s="4">
        <f>((160*(1/10)*H499)+H499*(1/20)*874.5)*2</f>
        <v>2030.65</v>
      </c>
      <c r="J499" s="12">
        <v>15073</v>
      </c>
      <c r="K499" s="12">
        <v>53700</v>
      </c>
      <c r="L499" s="14">
        <f t="shared" si="8"/>
        <v>17</v>
      </c>
    </row>
    <row r="500" spans="1:12" ht="19.5" x14ac:dyDescent="0.4">
      <c r="A500" s="1">
        <v>499</v>
      </c>
      <c r="B500" s="1" t="s">
        <v>31</v>
      </c>
      <c r="C500" s="1">
        <v>2023</v>
      </c>
      <c r="D500" t="s">
        <v>12</v>
      </c>
      <c r="E500" s="3">
        <v>125083</v>
      </c>
      <c r="F500" s="3">
        <v>8996</v>
      </c>
      <c r="G500" s="13">
        <f>LN(F500/E500)</f>
        <v>-2.6321974828547683</v>
      </c>
      <c r="H500" s="4">
        <v>7.2</v>
      </c>
      <c r="I500" s="4">
        <f>((160*(1/10)*H500)+H500*(1/20)*874.5)*2</f>
        <v>860.04000000000008</v>
      </c>
      <c r="J500" s="12">
        <v>7751</v>
      </c>
      <c r="K500" s="12">
        <v>40932</v>
      </c>
      <c r="L500" s="14">
        <f t="shared" si="8"/>
        <v>7.2</v>
      </c>
    </row>
    <row r="501" spans="1:12" ht="19.5" x14ac:dyDescent="0.4">
      <c r="A501" s="1">
        <v>500</v>
      </c>
      <c r="B501" s="1" t="s">
        <v>31</v>
      </c>
      <c r="C501" s="1">
        <v>2023</v>
      </c>
      <c r="D501" t="s">
        <v>13</v>
      </c>
      <c r="E501" s="3">
        <v>225298</v>
      </c>
      <c r="F501" s="3">
        <v>3988</v>
      </c>
      <c r="G501" s="13">
        <f>LN(F501/E501)</f>
        <v>-4.0341341182463868</v>
      </c>
      <c r="H501" s="4">
        <v>20.399999999999999</v>
      </c>
      <c r="I501" s="4">
        <f>((160*(1/10)*H501)+H501*(1/20)*874.5)*2</f>
        <v>2436.7799999999997</v>
      </c>
      <c r="J501" s="12">
        <v>15548</v>
      </c>
      <c r="K501" s="12">
        <v>59284</v>
      </c>
      <c r="L501" s="14">
        <f t="shared" si="8"/>
        <v>20.399999999999999</v>
      </c>
    </row>
    <row r="502" spans="1:12" ht="19.5" x14ac:dyDescent="0.4">
      <c r="A502" s="1">
        <v>501</v>
      </c>
      <c r="B502" s="1" t="s">
        <v>31</v>
      </c>
      <c r="C502" s="1">
        <v>2023</v>
      </c>
      <c r="D502" t="s">
        <v>14</v>
      </c>
      <c r="E502" s="3">
        <v>225298</v>
      </c>
      <c r="F502" s="3">
        <v>31540</v>
      </c>
      <c r="G502" s="13">
        <f>LN(F502/E502)</f>
        <v>-1.9661673888110869</v>
      </c>
      <c r="H502" s="4">
        <v>8.8000000000000007</v>
      </c>
      <c r="I502" s="4">
        <f>((160*(1/10)*H502)+H502*(1/20)*874.5)*2</f>
        <v>1051.1600000000001</v>
      </c>
      <c r="J502" s="12">
        <v>8519</v>
      </c>
      <c r="K502" s="12">
        <v>35078</v>
      </c>
      <c r="L502" s="14">
        <f t="shared" si="8"/>
        <v>8.8000000000000007</v>
      </c>
    </row>
    <row r="503" spans="1:12" ht="19.5" x14ac:dyDescent="0.4">
      <c r="A503" s="1">
        <v>502</v>
      </c>
      <c r="B503" s="1" t="s">
        <v>31</v>
      </c>
      <c r="C503" s="1">
        <v>2023</v>
      </c>
      <c r="D503" t="s">
        <v>15</v>
      </c>
      <c r="E503" s="3">
        <v>135777</v>
      </c>
      <c r="F503" s="3">
        <v>718</v>
      </c>
      <c r="G503" s="13">
        <f>LN(F503/E503)</f>
        <v>-5.2422995439985884</v>
      </c>
      <c r="H503" s="4">
        <v>28.8</v>
      </c>
      <c r="I503" s="4">
        <f>((160*(1/10)*H503)+H503*(1/20)*874.5)*2</f>
        <v>3440.1600000000003</v>
      </c>
      <c r="J503" s="12">
        <v>8295</v>
      </c>
      <c r="K503" s="12">
        <v>50017</v>
      </c>
      <c r="L503" s="14">
        <f t="shared" si="8"/>
        <v>28.8</v>
      </c>
    </row>
    <row r="504" spans="1:12" ht="19.5" x14ac:dyDescent="0.4">
      <c r="A504" s="1">
        <v>503</v>
      </c>
      <c r="B504" s="1" t="s">
        <v>31</v>
      </c>
      <c r="C504" s="1">
        <v>2023</v>
      </c>
      <c r="D504" t="s">
        <v>16</v>
      </c>
      <c r="E504" s="3">
        <v>217040</v>
      </c>
      <c r="F504" s="3">
        <v>1582</v>
      </c>
      <c r="G504" s="13">
        <f>LN(F504/E504)</f>
        <v>-4.9213917990052138</v>
      </c>
      <c r="H504" s="4">
        <v>48.8</v>
      </c>
      <c r="I504" s="4">
        <f>((160*(1/10)*H504)+H504*(1/20)*874.5)*2</f>
        <v>5829.16</v>
      </c>
      <c r="J504" s="12">
        <v>16187</v>
      </c>
      <c r="K504" s="12">
        <v>63371</v>
      </c>
      <c r="L504" s="14">
        <f t="shared" si="8"/>
        <v>48.8</v>
      </c>
    </row>
    <row r="505" spans="1:12" ht="19.5" x14ac:dyDescent="0.4">
      <c r="A505" s="1">
        <v>504</v>
      </c>
      <c r="B505" s="1" t="s">
        <v>31</v>
      </c>
      <c r="C505" s="1">
        <v>2023</v>
      </c>
      <c r="D505" t="s">
        <v>17</v>
      </c>
      <c r="E505" s="3">
        <v>142625</v>
      </c>
      <c r="F505" s="3">
        <v>241</v>
      </c>
      <c r="G505" s="13">
        <f>LN(F505/E505)</f>
        <v>-6.3831771536737216</v>
      </c>
      <c r="H505" s="4">
        <v>58.4</v>
      </c>
      <c r="I505" s="4">
        <f>((160*(1/10)*H505)+H505*(1/20)*874.5)*2</f>
        <v>6975.88</v>
      </c>
      <c r="J505" s="12">
        <v>10775</v>
      </c>
      <c r="K505" s="12">
        <v>46523</v>
      </c>
      <c r="L505" s="14">
        <f t="shared" si="8"/>
        <v>58.4</v>
      </c>
    </row>
    <row r="506" spans="1:12" ht="19.5" x14ac:dyDescent="0.4">
      <c r="A506" s="1">
        <v>505</v>
      </c>
      <c r="B506" s="1" t="s">
        <v>31</v>
      </c>
      <c r="C506" s="1">
        <v>2023</v>
      </c>
      <c r="D506" t="s">
        <v>18</v>
      </c>
      <c r="E506" s="3">
        <v>56869</v>
      </c>
      <c r="F506" s="3">
        <v>78</v>
      </c>
      <c r="G506" s="13">
        <f>LN(F506/E506)</f>
        <v>-6.5917968294932283</v>
      </c>
      <c r="H506" s="4">
        <v>52.8</v>
      </c>
      <c r="I506" s="4">
        <f>((160*(1/10)*H506)+H506*(1/20)*874.5)*2</f>
        <v>6306.9600000000009</v>
      </c>
      <c r="J506" s="12">
        <v>4168</v>
      </c>
      <c r="K506" s="12">
        <v>19403</v>
      </c>
      <c r="L506" s="14">
        <f t="shared" si="8"/>
        <v>52.8</v>
      </c>
    </row>
    <row r="507" spans="1:12" ht="19.5" x14ac:dyDescent="0.4">
      <c r="A507" s="1">
        <v>506</v>
      </c>
      <c r="B507" s="1" t="s">
        <v>31</v>
      </c>
      <c r="C507" s="1">
        <v>2023</v>
      </c>
      <c r="D507" t="s">
        <v>19</v>
      </c>
      <c r="E507" s="3">
        <v>121056</v>
      </c>
      <c r="F507" s="3">
        <v>1258</v>
      </c>
      <c r="G507" s="13">
        <f>LN(F507/E507)</f>
        <v>-4.5667300901723697</v>
      </c>
      <c r="H507" s="4">
        <v>26.8</v>
      </c>
      <c r="I507" s="4">
        <f>((160*(1/10)*H507)+H507*(1/20)*874.5)*2</f>
        <v>3201.26</v>
      </c>
      <c r="J507" s="12">
        <v>8520</v>
      </c>
      <c r="K507" s="12">
        <v>38101</v>
      </c>
      <c r="L507" s="14">
        <f t="shared" si="8"/>
        <v>26.8</v>
      </c>
    </row>
    <row r="508" spans="1:12" ht="19.5" x14ac:dyDescent="0.4">
      <c r="A508" s="5">
        <v>507</v>
      </c>
      <c r="B508" s="5" t="s">
        <v>31</v>
      </c>
      <c r="C508" s="5">
        <v>2023</v>
      </c>
      <c r="D508" s="6" t="s">
        <v>20</v>
      </c>
      <c r="E508" s="7">
        <v>58171</v>
      </c>
      <c r="F508" s="7">
        <v>3129</v>
      </c>
      <c r="G508" s="15">
        <f>LN(F508/E508)</f>
        <v>-2.9226734840800819</v>
      </c>
      <c r="H508" s="8">
        <v>21</v>
      </c>
      <c r="I508" s="8">
        <f>((160*(1/10)*H508)+H508*(1/20)*874.5)*2</f>
        <v>2508.4499999999998</v>
      </c>
      <c r="J508" s="10">
        <v>3816</v>
      </c>
      <c r="K508" s="10">
        <v>19636</v>
      </c>
      <c r="L508" s="16">
        <f t="shared" si="8"/>
        <v>21</v>
      </c>
    </row>
    <row r="509" spans="1:12" ht="19.5" x14ac:dyDescent="0.4">
      <c r="A509" s="1">
        <v>508</v>
      </c>
      <c r="B509" s="1" t="s">
        <v>31</v>
      </c>
      <c r="C509" s="1">
        <v>2024</v>
      </c>
      <c r="D509" t="s">
        <v>8</v>
      </c>
      <c r="E509" s="3">
        <v>248680</v>
      </c>
      <c r="F509" s="3">
        <v>562</v>
      </c>
      <c r="G509" s="13">
        <f>LN(F509/E509)</f>
        <v>-6.0924203584895826</v>
      </c>
      <c r="H509" s="4">
        <v>30</v>
      </c>
      <c r="I509" s="4">
        <f>((160*(1/10)*H509)+H509*(1/20)*874.5)*2</f>
        <v>3583.5</v>
      </c>
      <c r="J509" s="12">
        <v>15767</v>
      </c>
      <c r="K509" s="12">
        <v>67093</v>
      </c>
      <c r="L509" s="14">
        <f t="shared" si="8"/>
        <v>30</v>
      </c>
    </row>
    <row r="510" spans="1:12" ht="19.5" x14ac:dyDescent="0.4">
      <c r="A510" s="1">
        <v>509</v>
      </c>
      <c r="B510" s="1" t="s">
        <v>31</v>
      </c>
      <c r="C510" s="1">
        <v>2024</v>
      </c>
      <c r="D510" t="s">
        <v>9</v>
      </c>
      <c r="E510" s="3">
        <v>289323</v>
      </c>
      <c r="F510" s="3">
        <v>611</v>
      </c>
      <c r="G510" s="13">
        <f>LN(F510/E510)</f>
        <v>-6.1602020308792973</v>
      </c>
      <c r="H510" s="4">
        <v>37.6</v>
      </c>
      <c r="I510" s="4">
        <f>((160*(1/10)*H510)+H510*(1/20)*874.5)*2</f>
        <v>4491.3200000000006</v>
      </c>
      <c r="J510" s="12">
        <v>21442</v>
      </c>
      <c r="K510" s="12">
        <v>81653</v>
      </c>
      <c r="L510" s="14">
        <f t="shared" si="8"/>
        <v>37.6</v>
      </c>
    </row>
    <row r="511" spans="1:12" ht="19.5" x14ac:dyDescent="0.4">
      <c r="A511" s="1">
        <v>510</v>
      </c>
      <c r="B511" s="1" t="s">
        <v>31</v>
      </c>
      <c r="C511" s="1">
        <v>2024</v>
      </c>
      <c r="D511" t="s">
        <v>10</v>
      </c>
      <c r="E511" s="3">
        <v>265379</v>
      </c>
      <c r="F511" s="3">
        <v>749</v>
      </c>
      <c r="G511" s="13">
        <f>LN(F511/E511)</f>
        <v>-5.8701752883846332</v>
      </c>
      <c r="H511" s="4">
        <v>26.8</v>
      </c>
      <c r="I511" s="4">
        <f>((160*(1/10)*H511)+H511*(1/20)*874.5)*2</f>
        <v>3201.26</v>
      </c>
      <c r="J511" s="12">
        <v>19571</v>
      </c>
      <c r="K511" s="12">
        <v>74654</v>
      </c>
      <c r="L511" s="14">
        <f t="shared" si="8"/>
        <v>26.8</v>
      </c>
    </row>
    <row r="512" spans="1:12" ht="19.5" x14ac:dyDescent="0.4">
      <c r="A512" s="1">
        <v>511</v>
      </c>
      <c r="B512" s="1" t="s">
        <v>31</v>
      </c>
      <c r="C512" s="1">
        <v>2024</v>
      </c>
      <c r="D512" t="s">
        <v>11</v>
      </c>
      <c r="E512" s="3">
        <v>211835</v>
      </c>
      <c r="F512" s="3">
        <v>4262</v>
      </c>
      <c r="G512" s="13">
        <f>LN(F512/E512)</f>
        <v>-3.906069136074636</v>
      </c>
      <c r="H512" s="4">
        <v>17</v>
      </c>
      <c r="I512" s="4">
        <f>((160*(1/10)*H512)+H512*(1/20)*874.5)*2</f>
        <v>2030.65</v>
      </c>
      <c r="J512" s="12">
        <v>15073</v>
      </c>
      <c r="K512" s="12">
        <v>53700</v>
      </c>
      <c r="L512" s="14">
        <f t="shared" si="8"/>
        <v>17</v>
      </c>
    </row>
    <row r="513" spans="1:12" ht="19.5" x14ac:dyDescent="0.4">
      <c r="A513" s="1">
        <v>512</v>
      </c>
      <c r="B513" s="1" t="s">
        <v>31</v>
      </c>
      <c r="C513" s="1">
        <v>2024</v>
      </c>
      <c r="D513" t="s">
        <v>12</v>
      </c>
      <c r="E513" s="3">
        <v>125083</v>
      </c>
      <c r="F513" s="3">
        <v>7428</v>
      </c>
      <c r="G513" s="13">
        <f>LN(F513/E513)</f>
        <v>-2.8237208734613781</v>
      </c>
      <c r="H513" s="4">
        <v>7.2</v>
      </c>
      <c r="I513" s="4">
        <f>((160*(1/10)*H513)+H513*(1/20)*874.5)*2</f>
        <v>860.04000000000008</v>
      </c>
      <c r="J513" s="12">
        <v>7751</v>
      </c>
      <c r="K513" s="12">
        <v>40932</v>
      </c>
      <c r="L513" s="14">
        <f t="shared" si="8"/>
        <v>7.2</v>
      </c>
    </row>
    <row r="514" spans="1:12" ht="19.5" x14ac:dyDescent="0.4">
      <c r="A514" s="1">
        <v>513</v>
      </c>
      <c r="B514" s="1" t="s">
        <v>31</v>
      </c>
      <c r="C514" s="1">
        <v>2024</v>
      </c>
      <c r="D514" t="s">
        <v>13</v>
      </c>
      <c r="E514" s="3">
        <v>225298</v>
      </c>
      <c r="F514" s="3">
        <v>3679</v>
      </c>
      <c r="G514" s="13">
        <f>LN(F514/E514)</f>
        <v>-4.1147829942233418</v>
      </c>
      <c r="H514" s="4">
        <v>20.399999999999999</v>
      </c>
      <c r="I514" s="4">
        <f>((160*(1/10)*H514)+H514*(1/20)*874.5)*2</f>
        <v>2436.7799999999997</v>
      </c>
      <c r="J514" s="12">
        <v>15548</v>
      </c>
      <c r="K514" s="12">
        <v>59284</v>
      </c>
      <c r="L514" s="14">
        <f t="shared" si="8"/>
        <v>20.399999999999999</v>
      </c>
    </row>
    <row r="515" spans="1:12" ht="19.5" x14ac:dyDescent="0.4">
      <c r="A515" s="1">
        <v>514</v>
      </c>
      <c r="B515" s="1" t="s">
        <v>31</v>
      </c>
      <c r="C515" s="1">
        <v>2024</v>
      </c>
      <c r="D515" t="s">
        <v>14</v>
      </c>
      <c r="E515" s="3">
        <v>225298</v>
      </c>
      <c r="F515" s="3">
        <v>27854</v>
      </c>
      <c r="G515" s="13">
        <f>LN(F515/E515)</f>
        <v>-2.0904473877150789</v>
      </c>
      <c r="H515" s="4">
        <v>8.8000000000000007</v>
      </c>
      <c r="I515" s="4">
        <f>((160*(1/10)*H515)+H515*(1/20)*874.5)*2</f>
        <v>1051.1600000000001</v>
      </c>
      <c r="J515" s="12">
        <v>8519</v>
      </c>
      <c r="K515" s="12">
        <v>35078</v>
      </c>
      <c r="L515" s="14">
        <f t="shared" si="8"/>
        <v>8.8000000000000007</v>
      </c>
    </row>
    <row r="516" spans="1:12" ht="19.5" x14ac:dyDescent="0.4">
      <c r="A516" s="1">
        <v>515</v>
      </c>
      <c r="B516" s="1" t="s">
        <v>31</v>
      </c>
      <c r="C516" s="1">
        <v>2024</v>
      </c>
      <c r="D516" t="s">
        <v>15</v>
      </c>
      <c r="E516" s="3">
        <v>135777</v>
      </c>
      <c r="F516" s="3">
        <v>1323</v>
      </c>
      <c r="G516" s="13">
        <f>LN(F516/E516)</f>
        <v>-4.6311119489318564</v>
      </c>
      <c r="H516" s="4">
        <v>28.8</v>
      </c>
      <c r="I516" s="4">
        <f>((160*(1/10)*H516)+H516*(1/20)*874.5)*2</f>
        <v>3440.1600000000003</v>
      </c>
      <c r="J516" s="12">
        <v>8295</v>
      </c>
      <c r="K516" s="12">
        <v>50017</v>
      </c>
      <c r="L516" s="14">
        <f t="shared" si="8"/>
        <v>28.8</v>
      </c>
    </row>
    <row r="517" spans="1:12" ht="19.5" x14ac:dyDescent="0.4">
      <c r="A517" s="1">
        <v>516</v>
      </c>
      <c r="B517" s="1" t="s">
        <v>31</v>
      </c>
      <c r="C517" s="1">
        <v>2024</v>
      </c>
      <c r="D517" t="s">
        <v>16</v>
      </c>
      <c r="E517" s="3">
        <v>217040</v>
      </c>
      <c r="F517" s="3">
        <v>262</v>
      </c>
      <c r="G517" s="13">
        <f>LN(F517/E517)</f>
        <v>-6.7194924435717169</v>
      </c>
      <c r="H517" s="4">
        <v>48.8</v>
      </c>
      <c r="I517" s="4">
        <f>((160*(1/10)*H517)+H517*(1/20)*874.5)*2</f>
        <v>5829.16</v>
      </c>
      <c r="J517" s="12">
        <v>16187</v>
      </c>
      <c r="K517" s="12">
        <v>63371</v>
      </c>
      <c r="L517" s="14">
        <f t="shared" si="8"/>
        <v>48.8</v>
      </c>
    </row>
    <row r="518" spans="1:12" ht="19.5" x14ac:dyDescent="0.4">
      <c r="A518" s="1">
        <v>517</v>
      </c>
      <c r="B518" s="1" t="s">
        <v>31</v>
      </c>
      <c r="C518" s="1">
        <v>2024</v>
      </c>
      <c r="D518" t="s">
        <v>17</v>
      </c>
      <c r="E518" s="3">
        <v>142625</v>
      </c>
      <c r="F518" s="3">
        <v>411</v>
      </c>
      <c r="G518" s="13">
        <f>LN(F518/E518)</f>
        <v>-5.8493808726681422</v>
      </c>
      <c r="H518" s="4">
        <v>58.4</v>
      </c>
      <c r="I518" s="4">
        <f>((160*(1/10)*H518)+H518*(1/20)*874.5)*2</f>
        <v>6975.88</v>
      </c>
      <c r="J518" s="12">
        <v>10775</v>
      </c>
      <c r="K518" s="12">
        <v>46523</v>
      </c>
      <c r="L518" s="14">
        <f t="shared" si="8"/>
        <v>58.4</v>
      </c>
    </row>
    <row r="519" spans="1:12" ht="19.5" x14ac:dyDescent="0.4">
      <c r="A519" s="1">
        <v>518</v>
      </c>
      <c r="B519" s="1" t="s">
        <v>31</v>
      </c>
      <c r="C519" s="1">
        <v>2024</v>
      </c>
      <c r="D519" t="s">
        <v>18</v>
      </c>
      <c r="E519" s="3">
        <v>56869</v>
      </c>
      <c r="F519" s="3">
        <v>190</v>
      </c>
      <c r="G519" s="13">
        <f>LN(F519/E519)</f>
        <v>-5.7014815840223338</v>
      </c>
      <c r="H519" s="4">
        <v>52.8</v>
      </c>
      <c r="I519" s="4">
        <f>((160*(1/10)*H519)+H519*(1/20)*874.5)*2</f>
        <v>6306.9600000000009</v>
      </c>
      <c r="J519" s="12">
        <v>4168</v>
      </c>
      <c r="K519" s="12">
        <v>19403</v>
      </c>
      <c r="L519" s="14">
        <f t="shared" si="8"/>
        <v>52.8</v>
      </c>
    </row>
    <row r="520" spans="1:12" ht="19.5" x14ac:dyDescent="0.4">
      <c r="A520" s="1">
        <v>519</v>
      </c>
      <c r="B520" s="1" t="s">
        <v>31</v>
      </c>
      <c r="C520" s="1">
        <v>2024</v>
      </c>
      <c r="D520" t="s">
        <v>19</v>
      </c>
      <c r="E520" s="3">
        <v>121056</v>
      </c>
      <c r="F520" s="3">
        <v>484</v>
      </c>
      <c r="G520" s="13">
        <f>LN(F520/E520)</f>
        <v>-5.521923620716124</v>
      </c>
      <c r="H520" s="4">
        <v>26.8</v>
      </c>
      <c r="I520" s="4">
        <f>((160*(1/10)*H520)+H520*(1/20)*874.5)*2</f>
        <v>3201.26</v>
      </c>
      <c r="J520" s="12">
        <v>8520</v>
      </c>
      <c r="K520" s="12">
        <v>38101</v>
      </c>
      <c r="L520" s="14">
        <f t="shared" si="8"/>
        <v>26.8</v>
      </c>
    </row>
    <row r="521" spans="1:12" ht="19.5" x14ac:dyDescent="0.4">
      <c r="A521" s="5">
        <v>520</v>
      </c>
      <c r="B521" s="5" t="s">
        <v>31</v>
      </c>
      <c r="C521" s="5">
        <v>2024</v>
      </c>
      <c r="D521" s="6" t="s">
        <v>20</v>
      </c>
      <c r="E521" s="7">
        <v>58171</v>
      </c>
      <c r="F521" s="7">
        <v>3406</v>
      </c>
      <c r="G521" s="15">
        <f>LN(F521/E521)</f>
        <v>-2.8378483665263303</v>
      </c>
      <c r="H521" s="8">
        <v>21</v>
      </c>
      <c r="I521" s="8">
        <f>((160*(1/10)*H521)+H521*(1/20)*874.5)*2</f>
        <v>2508.4499999999998</v>
      </c>
      <c r="J521" s="10">
        <v>3816</v>
      </c>
      <c r="K521" s="10">
        <v>19636</v>
      </c>
      <c r="L521" s="16">
        <f t="shared" si="8"/>
        <v>21</v>
      </c>
    </row>
    <row r="522" spans="1:12" ht="19.5" x14ac:dyDescent="0.4">
      <c r="A522" s="1">
        <v>521</v>
      </c>
      <c r="B522" s="1" t="s">
        <v>13</v>
      </c>
      <c r="C522" s="1">
        <v>2018</v>
      </c>
      <c r="D522" t="s">
        <v>8</v>
      </c>
      <c r="E522" s="3">
        <v>248680</v>
      </c>
      <c r="F522" s="3">
        <v>3514</v>
      </c>
      <c r="G522" s="13">
        <f>LN(F522/E522)</f>
        <v>-4.2594119396362311</v>
      </c>
      <c r="H522" s="4">
        <v>8.6</v>
      </c>
      <c r="I522" s="4">
        <f>((160*(1/10)*H522)+H522*(1/20)*874.5)*2</f>
        <v>1027.27</v>
      </c>
      <c r="J522" s="12">
        <v>15767</v>
      </c>
      <c r="K522" s="12">
        <v>67093</v>
      </c>
      <c r="L522" s="14">
        <f t="shared" si="8"/>
        <v>8.6</v>
      </c>
    </row>
    <row r="523" spans="1:12" ht="19.5" x14ac:dyDescent="0.4">
      <c r="A523" s="1">
        <v>522</v>
      </c>
      <c r="B523" s="1" t="s">
        <v>13</v>
      </c>
      <c r="C523" s="1">
        <v>2018</v>
      </c>
      <c r="D523" t="s">
        <v>9</v>
      </c>
      <c r="E523" s="3">
        <v>289323</v>
      </c>
      <c r="F523" s="3">
        <v>3352</v>
      </c>
      <c r="G523" s="13">
        <f>LN(F523/E523)</f>
        <v>-4.4579865284489193</v>
      </c>
      <c r="H523" s="4">
        <v>14.8</v>
      </c>
      <c r="I523" s="4">
        <f>((160*(1/10)*H523)+H523*(1/20)*874.5)*2</f>
        <v>1767.8600000000001</v>
      </c>
      <c r="J523" s="12">
        <v>21442</v>
      </c>
      <c r="K523" s="12">
        <v>81653</v>
      </c>
      <c r="L523" s="14">
        <f t="shared" si="8"/>
        <v>14.8</v>
      </c>
    </row>
    <row r="524" spans="1:12" ht="19.5" x14ac:dyDescent="0.4">
      <c r="A524" s="1">
        <v>523</v>
      </c>
      <c r="B524" s="1" t="s">
        <v>13</v>
      </c>
      <c r="C524" s="1">
        <v>2018</v>
      </c>
      <c r="D524" t="s">
        <v>10</v>
      </c>
      <c r="E524" s="3">
        <v>265379</v>
      </c>
      <c r="F524" s="3">
        <v>5158</v>
      </c>
      <c r="G524" s="13">
        <f>LN(F524/E524)</f>
        <v>-3.9406100854605621</v>
      </c>
      <c r="H524" s="4">
        <v>9.6</v>
      </c>
      <c r="I524" s="4">
        <f>((160*(1/10)*H524)+H524*(1/20)*874.5)*2</f>
        <v>1146.72</v>
      </c>
      <c r="J524" s="12">
        <v>19571</v>
      </c>
      <c r="K524" s="12">
        <v>74654</v>
      </c>
      <c r="L524" s="14">
        <f t="shared" si="8"/>
        <v>9.6</v>
      </c>
    </row>
    <row r="525" spans="1:12" ht="19.5" x14ac:dyDescent="0.4">
      <c r="A525" s="1">
        <v>524</v>
      </c>
      <c r="B525" s="1" t="s">
        <v>13</v>
      </c>
      <c r="C525" s="1">
        <v>2018</v>
      </c>
      <c r="D525" t="s">
        <v>11</v>
      </c>
      <c r="E525" s="3">
        <v>211835</v>
      </c>
      <c r="F525" s="3">
        <v>5577</v>
      </c>
      <c r="G525" s="13">
        <f>LN(F525/E525)</f>
        <v>-3.6371566723436448</v>
      </c>
      <c r="H525" s="4">
        <v>4</v>
      </c>
      <c r="I525" s="4">
        <f>((160*(1/10)*H525)+H525*(1/20)*874.5)*2</f>
        <v>477.8</v>
      </c>
      <c r="J525" s="12">
        <v>15073</v>
      </c>
      <c r="K525" s="12">
        <v>53700</v>
      </c>
      <c r="L525" s="14">
        <f t="shared" si="8"/>
        <v>4</v>
      </c>
    </row>
    <row r="526" spans="1:12" ht="19.5" x14ac:dyDescent="0.4">
      <c r="A526" s="1">
        <v>525</v>
      </c>
      <c r="B526" s="1" t="s">
        <v>13</v>
      </c>
      <c r="C526" s="1">
        <v>2018</v>
      </c>
      <c r="D526" t="s">
        <v>12</v>
      </c>
      <c r="E526" s="3">
        <v>125083</v>
      </c>
      <c r="F526" s="3">
        <v>607</v>
      </c>
      <c r="G526" s="13">
        <f>LN(F526/E526)</f>
        <v>-5.3282040048744763</v>
      </c>
      <c r="H526" s="4">
        <v>18.600000000000001</v>
      </c>
      <c r="I526" s="4">
        <f>((160*(1/10)*H526)+H526*(1/20)*874.5)*2</f>
        <v>2221.7700000000004</v>
      </c>
      <c r="J526" s="12">
        <v>7751</v>
      </c>
      <c r="K526" s="12">
        <v>40932</v>
      </c>
      <c r="L526" s="14">
        <f t="shared" si="8"/>
        <v>18.600000000000001</v>
      </c>
    </row>
    <row r="527" spans="1:12" ht="19.5" x14ac:dyDescent="0.4">
      <c r="A527" s="1">
        <v>526</v>
      </c>
      <c r="B527" s="1" t="s">
        <v>13</v>
      </c>
      <c r="C527" s="1">
        <v>2018</v>
      </c>
      <c r="D527" t="s">
        <v>13</v>
      </c>
      <c r="E527" s="3">
        <v>225298</v>
      </c>
      <c r="F527" s="3">
        <v>26231</v>
      </c>
      <c r="G527" s="13">
        <f>LN(F527/E527)</f>
        <v>-2.150482052908739</v>
      </c>
      <c r="H527" s="4">
        <v>2.8</v>
      </c>
      <c r="I527" s="4">
        <f>((160*(1/10)*H527)+H527*(1/20)*874.5)*2</f>
        <v>334.46</v>
      </c>
      <c r="J527" s="12">
        <v>15548</v>
      </c>
      <c r="K527" s="12">
        <v>59284</v>
      </c>
      <c r="L527" s="14">
        <f t="shared" si="8"/>
        <v>2.8</v>
      </c>
    </row>
    <row r="528" spans="1:12" ht="19.5" x14ac:dyDescent="0.4">
      <c r="A528" s="1">
        <v>527</v>
      </c>
      <c r="B528" s="1" t="s">
        <v>13</v>
      </c>
      <c r="C528" s="1">
        <v>2018</v>
      </c>
      <c r="D528" t="s">
        <v>14</v>
      </c>
      <c r="E528" s="3">
        <v>225298</v>
      </c>
      <c r="F528" s="3">
        <v>1235</v>
      </c>
      <c r="G528" s="13">
        <f>LN(F528/E528)</f>
        <v>-5.2063530002660388</v>
      </c>
      <c r="H528" s="4">
        <v>17</v>
      </c>
      <c r="I528" s="4">
        <f>((160*(1/10)*H528)+H528*(1/20)*874.5)*2</f>
        <v>2030.65</v>
      </c>
      <c r="J528" s="12">
        <v>8519</v>
      </c>
      <c r="K528" s="12">
        <v>35078</v>
      </c>
      <c r="L528" s="14">
        <f t="shared" si="8"/>
        <v>17</v>
      </c>
    </row>
    <row r="529" spans="1:12" ht="19.5" x14ac:dyDescent="0.4">
      <c r="A529" s="1">
        <v>528</v>
      </c>
      <c r="B529" s="1" t="s">
        <v>13</v>
      </c>
      <c r="C529" s="1">
        <v>2018</v>
      </c>
      <c r="D529" t="s">
        <v>15</v>
      </c>
      <c r="E529" s="3">
        <v>135777</v>
      </c>
      <c r="F529" s="3">
        <v>2359</v>
      </c>
      <c r="G529" s="13">
        <f>LN(F529/E529)</f>
        <v>-4.0527760336391374</v>
      </c>
      <c r="H529" s="4">
        <v>13.8</v>
      </c>
      <c r="I529" s="4">
        <f>((160*(1/10)*H529)+H529*(1/20)*874.5)*2</f>
        <v>1648.4100000000003</v>
      </c>
      <c r="J529" s="12">
        <v>8295</v>
      </c>
      <c r="K529" s="12">
        <v>50017</v>
      </c>
      <c r="L529" s="14">
        <f t="shared" si="8"/>
        <v>13.8</v>
      </c>
    </row>
    <row r="530" spans="1:12" ht="19.5" x14ac:dyDescent="0.4">
      <c r="A530" s="1">
        <v>529</v>
      </c>
      <c r="B530" s="1" t="s">
        <v>13</v>
      </c>
      <c r="C530" s="1">
        <v>2018</v>
      </c>
      <c r="D530" t="s">
        <v>16</v>
      </c>
      <c r="E530" s="3">
        <v>217040</v>
      </c>
      <c r="F530" s="3">
        <v>1440</v>
      </c>
      <c r="G530" s="13">
        <f>LN(F530/E530)</f>
        <v>-5.0154385547627669</v>
      </c>
      <c r="H530" s="4">
        <v>18.399999999999999</v>
      </c>
      <c r="I530" s="4">
        <f>((160*(1/10)*H530)+H530*(1/20)*874.5)*2</f>
        <v>2197.88</v>
      </c>
      <c r="J530" s="12">
        <v>16187</v>
      </c>
      <c r="K530" s="12">
        <v>63371</v>
      </c>
      <c r="L530" s="14">
        <f t="shared" si="8"/>
        <v>18.399999999999999</v>
      </c>
    </row>
    <row r="531" spans="1:12" ht="19.5" x14ac:dyDescent="0.4">
      <c r="A531" s="1">
        <v>530</v>
      </c>
      <c r="B531" s="1" t="s">
        <v>13</v>
      </c>
      <c r="C531" s="1">
        <v>2018</v>
      </c>
      <c r="D531" t="s">
        <v>17</v>
      </c>
      <c r="E531" s="3">
        <v>142625</v>
      </c>
      <c r="F531" s="3">
        <v>262</v>
      </c>
      <c r="G531" s="13">
        <f>LN(F531/E531)</f>
        <v>-6.2996295834032798</v>
      </c>
      <c r="H531" s="4">
        <v>38.4</v>
      </c>
      <c r="I531" s="4">
        <f>((160*(1/10)*H531)+H531*(1/20)*874.5)*2</f>
        <v>4586.88</v>
      </c>
      <c r="J531" s="12">
        <v>10775</v>
      </c>
      <c r="K531" s="12">
        <v>46523</v>
      </c>
      <c r="L531" s="14">
        <f t="shared" si="8"/>
        <v>38.4</v>
      </c>
    </row>
    <row r="532" spans="1:12" ht="19.5" x14ac:dyDescent="0.4">
      <c r="A532" s="1">
        <v>531</v>
      </c>
      <c r="B532" s="1" t="s">
        <v>13</v>
      </c>
      <c r="C532" s="1">
        <v>2018</v>
      </c>
      <c r="D532" t="s">
        <v>18</v>
      </c>
      <c r="E532" s="3">
        <v>56869</v>
      </c>
      <c r="F532" s="3">
        <v>76</v>
      </c>
      <c r="G532" s="13">
        <f>LN(F532/E532)</f>
        <v>-6.617772315896489</v>
      </c>
      <c r="H532" s="4">
        <v>36.4</v>
      </c>
      <c r="I532" s="4">
        <f>((160*(1/10)*H532)+H532*(1/20)*874.5)*2</f>
        <v>4347.9800000000005</v>
      </c>
      <c r="J532" s="12">
        <v>4168</v>
      </c>
      <c r="K532" s="12">
        <v>19403</v>
      </c>
      <c r="L532" s="14">
        <f t="shared" si="8"/>
        <v>36.4</v>
      </c>
    </row>
    <row r="533" spans="1:12" ht="19.5" x14ac:dyDescent="0.4">
      <c r="A533" s="1">
        <v>532</v>
      </c>
      <c r="B533" s="1" t="s">
        <v>13</v>
      </c>
      <c r="C533" s="1">
        <v>2018</v>
      </c>
      <c r="D533" t="s">
        <v>19</v>
      </c>
      <c r="E533" s="3">
        <v>121056</v>
      </c>
      <c r="F533" s="3">
        <v>196</v>
      </c>
      <c r="G533" s="13">
        <f>LN(F533/E533)</f>
        <v>-6.4258938682022384</v>
      </c>
      <c r="H533" s="4">
        <v>35.799999999999997</v>
      </c>
      <c r="I533" s="4">
        <f>((160*(1/10)*H533)+H533*(1/20)*874.5)*2</f>
        <v>4276.3099999999995</v>
      </c>
      <c r="J533" s="12">
        <v>8520</v>
      </c>
      <c r="K533" s="12">
        <v>38101</v>
      </c>
      <c r="L533" s="14">
        <f t="shared" si="8"/>
        <v>35.799999999999997</v>
      </c>
    </row>
    <row r="534" spans="1:12" ht="19.5" x14ac:dyDescent="0.4">
      <c r="A534" s="5">
        <v>533</v>
      </c>
      <c r="B534" s="5" t="s">
        <v>13</v>
      </c>
      <c r="C534" s="5">
        <v>2018</v>
      </c>
      <c r="D534" s="6" t="s">
        <v>20</v>
      </c>
      <c r="E534" s="7">
        <v>58171</v>
      </c>
      <c r="F534" s="7">
        <v>194</v>
      </c>
      <c r="G534" s="15">
        <f>LN(F534/E534)</f>
        <v>-5.7032840686856359</v>
      </c>
      <c r="H534" s="8">
        <v>37.200000000000003</v>
      </c>
      <c r="I534" s="8">
        <f>((160*(1/10)*H534)+H534*(1/20)*874.5)*2</f>
        <v>4443.5400000000009</v>
      </c>
      <c r="J534" s="10">
        <v>3816</v>
      </c>
      <c r="K534" s="10">
        <v>19636</v>
      </c>
      <c r="L534" s="16">
        <f t="shared" si="8"/>
        <v>37.200000000000003</v>
      </c>
    </row>
    <row r="535" spans="1:12" ht="19.5" x14ac:dyDescent="0.4">
      <c r="A535" s="1">
        <v>534</v>
      </c>
      <c r="B535" s="1" t="s">
        <v>13</v>
      </c>
      <c r="C535" s="1">
        <v>2019</v>
      </c>
      <c r="D535" t="s">
        <v>8</v>
      </c>
      <c r="E535" s="3">
        <v>248680</v>
      </c>
      <c r="F535" s="3">
        <v>6492</v>
      </c>
      <c r="G535" s="13">
        <f>LN(F535/E535)</f>
        <v>-3.645596279748792</v>
      </c>
      <c r="H535" s="4">
        <v>8.6</v>
      </c>
      <c r="I535" s="4">
        <f>((160*(1/10)*H535)+H535*(1/20)*874.5)*2</f>
        <v>1027.27</v>
      </c>
      <c r="J535" s="12">
        <v>15767</v>
      </c>
      <c r="K535" s="12">
        <v>67093</v>
      </c>
      <c r="L535" s="14">
        <f t="shared" si="8"/>
        <v>8.6</v>
      </c>
    </row>
    <row r="536" spans="1:12" ht="19.5" x14ac:dyDescent="0.4">
      <c r="A536" s="1">
        <v>535</v>
      </c>
      <c r="B536" s="1" t="s">
        <v>13</v>
      </c>
      <c r="C536" s="1">
        <v>2019</v>
      </c>
      <c r="D536" t="s">
        <v>9</v>
      </c>
      <c r="E536" s="3">
        <v>289323</v>
      </c>
      <c r="F536" s="3">
        <v>4489</v>
      </c>
      <c r="G536" s="13">
        <f>LN(F536/E536)</f>
        <v>-4.1659137512689606</v>
      </c>
      <c r="H536" s="4">
        <v>14.8</v>
      </c>
      <c r="I536" s="4">
        <f>((160*(1/10)*H536)+H536*(1/20)*874.5)*2</f>
        <v>1767.8600000000001</v>
      </c>
      <c r="J536" s="12">
        <v>21442</v>
      </c>
      <c r="K536" s="12">
        <v>81653</v>
      </c>
      <c r="L536" s="14">
        <f t="shared" si="8"/>
        <v>14.8</v>
      </c>
    </row>
    <row r="537" spans="1:12" ht="19.5" x14ac:dyDescent="0.4">
      <c r="A537" s="1">
        <v>536</v>
      </c>
      <c r="B537" s="1" t="s">
        <v>13</v>
      </c>
      <c r="C537" s="1">
        <v>2019</v>
      </c>
      <c r="D537" t="s">
        <v>10</v>
      </c>
      <c r="E537" s="3">
        <v>265379</v>
      </c>
      <c r="F537" s="3">
        <v>6344</v>
      </c>
      <c r="G537" s="13">
        <f>LN(F537/E537)</f>
        <v>-3.7336495085871682</v>
      </c>
      <c r="H537" s="4">
        <v>9.6</v>
      </c>
      <c r="I537" s="4">
        <f>((160*(1/10)*H537)+H537*(1/20)*874.5)*2</f>
        <v>1146.72</v>
      </c>
      <c r="J537" s="12">
        <v>19571</v>
      </c>
      <c r="K537" s="12">
        <v>74654</v>
      </c>
      <c r="L537" s="14">
        <f t="shared" si="8"/>
        <v>9.6</v>
      </c>
    </row>
    <row r="538" spans="1:12" ht="19.5" x14ac:dyDescent="0.4">
      <c r="A538" s="1">
        <v>537</v>
      </c>
      <c r="B538" s="1" t="s">
        <v>13</v>
      </c>
      <c r="C538" s="1">
        <v>2019</v>
      </c>
      <c r="D538" t="s">
        <v>11</v>
      </c>
      <c r="E538" s="3">
        <v>211835</v>
      </c>
      <c r="F538" s="3">
        <v>7175</v>
      </c>
      <c r="G538" s="13">
        <f>LN(F538/E538)</f>
        <v>-3.385204908105377</v>
      </c>
      <c r="H538" s="4">
        <v>4</v>
      </c>
      <c r="I538" s="4">
        <f>((160*(1/10)*H538)+H538*(1/20)*874.5)*2</f>
        <v>477.8</v>
      </c>
      <c r="J538" s="12">
        <v>15073</v>
      </c>
      <c r="K538" s="12">
        <v>53700</v>
      </c>
      <c r="L538" s="14">
        <f t="shared" si="8"/>
        <v>4</v>
      </c>
    </row>
    <row r="539" spans="1:12" ht="19.5" x14ac:dyDescent="0.4">
      <c r="A539" s="1">
        <v>538</v>
      </c>
      <c r="B539" s="1" t="s">
        <v>13</v>
      </c>
      <c r="C539" s="1">
        <v>2019</v>
      </c>
      <c r="D539" t="s">
        <v>12</v>
      </c>
      <c r="E539" s="3">
        <v>125083</v>
      </c>
      <c r="F539" s="3">
        <v>2517</v>
      </c>
      <c r="G539" s="13">
        <f>LN(F539/E539)</f>
        <v>-3.9059098007986588</v>
      </c>
      <c r="H539" s="4">
        <v>18.600000000000001</v>
      </c>
      <c r="I539" s="4">
        <f>((160*(1/10)*H539)+H539*(1/20)*874.5)*2</f>
        <v>2221.7700000000004</v>
      </c>
      <c r="J539" s="12">
        <v>7751</v>
      </c>
      <c r="K539" s="12">
        <v>40932</v>
      </c>
      <c r="L539" s="14">
        <f t="shared" si="8"/>
        <v>18.600000000000001</v>
      </c>
    </row>
    <row r="540" spans="1:12" ht="19.5" x14ac:dyDescent="0.4">
      <c r="A540" s="1">
        <v>539</v>
      </c>
      <c r="B540" s="1" t="s">
        <v>13</v>
      </c>
      <c r="C540" s="1">
        <v>2019</v>
      </c>
      <c r="D540" t="s">
        <v>13</v>
      </c>
      <c r="E540" s="3">
        <v>225298</v>
      </c>
      <c r="F540" s="3">
        <v>64741</v>
      </c>
      <c r="G540" s="13">
        <f>LN(F540/E540)</f>
        <v>-1.2470292755661867</v>
      </c>
      <c r="H540" s="4">
        <v>2.8</v>
      </c>
      <c r="I540" s="4">
        <f>((160*(1/10)*H540)+H540*(1/20)*874.5)*2</f>
        <v>334.46</v>
      </c>
      <c r="J540" s="12">
        <v>15548</v>
      </c>
      <c r="K540" s="12">
        <v>59284</v>
      </c>
      <c r="L540" s="14">
        <f t="shared" si="8"/>
        <v>2.8</v>
      </c>
    </row>
    <row r="541" spans="1:12" ht="19.5" x14ac:dyDescent="0.4">
      <c r="A541" s="1">
        <v>540</v>
      </c>
      <c r="B541" s="1" t="s">
        <v>13</v>
      </c>
      <c r="C541" s="1">
        <v>2019</v>
      </c>
      <c r="D541" t="s">
        <v>14</v>
      </c>
      <c r="E541" s="3">
        <v>225298</v>
      </c>
      <c r="F541" s="3">
        <v>4800</v>
      </c>
      <c r="G541" s="13">
        <f>LN(F541/E541)</f>
        <v>-3.8488080524321338</v>
      </c>
      <c r="H541" s="4">
        <v>17</v>
      </c>
      <c r="I541" s="4">
        <f>((160*(1/10)*H541)+H541*(1/20)*874.5)*2</f>
        <v>2030.65</v>
      </c>
      <c r="J541" s="12">
        <v>8519</v>
      </c>
      <c r="K541" s="12">
        <v>35078</v>
      </c>
      <c r="L541" s="14">
        <f t="shared" si="8"/>
        <v>17</v>
      </c>
    </row>
    <row r="542" spans="1:12" ht="19.5" x14ac:dyDescent="0.4">
      <c r="A542" s="1">
        <v>541</v>
      </c>
      <c r="B542" s="1" t="s">
        <v>13</v>
      </c>
      <c r="C542" s="1">
        <v>2019</v>
      </c>
      <c r="D542" t="s">
        <v>15</v>
      </c>
      <c r="E542" s="3">
        <v>135777</v>
      </c>
      <c r="F542" s="3">
        <v>4796</v>
      </c>
      <c r="G542" s="13">
        <f>LN(F542/E542)</f>
        <v>-3.3432315968994075</v>
      </c>
      <c r="H542" s="4">
        <v>13.8</v>
      </c>
      <c r="I542" s="4">
        <f>((160*(1/10)*H542)+H542*(1/20)*874.5)*2</f>
        <v>1648.4100000000003</v>
      </c>
      <c r="J542" s="12">
        <v>8295</v>
      </c>
      <c r="K542" s="12">
        <v>50017</v>
      </c>
      <c r="L542" s="14">
        <f t="shared" ref="L542:L605" si="9">H542</f>
        <v>13.8</v>
      </c>
    </row>
    <row r="543" spans="1:12" ht="19.5" x14ac:dyDescent="0.4">
      <c r="A543" s="1">
        <v>542</v>
      </c>
      <c r="B543" s="1" t="s">
        <v>13</v>
      </c>
      <c r="C543" s="1">
        <v>2019</v>
      </c>
      <c r="D543" t="s">
        <v>16</v>
      </c>
      <c r="E543" s="3">
        <v>217040</v>
      </c>
      <c r="F543" s="3">
        <v>2312</v>
      </c>
      <c r="G543" s="13">
        <f>LN(F543/E543)</f>
        <v>-4.541968717540545</v>
      </c>
      <c r="H543" s="4">
        <v>18.399999999999999</v>
      </c>
      <c r="I543" s="4">
        <f>((160*(1/10)*H543)+H543*(1/20)*874.5)*2</f>
        <v>2197.88</v>
      </c>
      <c r="J543" s="12">
        <v>16187</v>
      </c>
      <c r="K543" s="12">
        <v>63371</v>
      </c>
      <c r="L543" s="14">
        <f t="shared" si="9"/>
        <v>18.399999999999999</v>
      </c>
    </row>
    <row r="544" spans="1:12" ht="19.5" x14ac:dyDescent="0.4">
      <c r="A544" s="1">
        <v>543</v>
      </c>
      <c r="B544" s="1" t="s">
        <v>13</v>
      </c>
      <c r="C544" s="1">
        <v>2019</v>
      </c>
      <c r="D544" t="s">
        <v>17</v>
      </c>
      <c r="E544" s="3">
        <v>142625</v>
      </c>
      <c r="F544" s="3">
        <v>854</v>
      </c>
      <c r="G544" s="13">
        <f>LN(F544/E544)</f>
        <v>-5.1180428933758071</v>
      </c>
      <c r="H544" s="4">
        <v>38.4</v>
      </c>
      <c r="I544" s="4">
        <f>((160*(1/10)*H544)+H544*(1/20)*874.5)*2</f>
        <v>4586.88</v>
      </c>
      <c r="J544" s="12">
        <v>10775</v>
      </c>
      <c r="K544" s="12">
        <v>46523</v>
      </c>
      <c r="L544" s="14">
        <f t="shared" si="9"/>
        <v>38.4</v>
      </c>
    </row>
    <row r="545" spans="1:12" ht="19.5" x14ac:dyDescent="0.4">
      <c r="A545" s="1">
        <v>544</v>
      </c>
      <c r="B545" s="1" t="s">
        <v>13</v>
      </c>
      <c r="C545" s="1">
        <v>2019</v>
      </c>
      <c r="D545" t="s">
        <v>18</v>
      </c>
      <c r="E545" s="3">
        <v>56869</v>
      </c>
      <c r="F545" s="3">
        <v>545</v>
      </c>
      <c r="G545" s="13">
        <f>LN(F545/E545)</f>
        <v>-4.6477198615195761</v>
      </c>
      <c r="H545" s="4">
        <v>36.4</v>
      </c>
      <c r="I545" s="4">
        <f>((160*(1/10)*H545)+H545*(1/20)*874.5)*2</f>
        <v>4347.9800000000005</v>
      </c>
      <c r="J545" s="12">
        <v>4168</v>
      </c>
      <c r="K545" s="12">
        <v>19403</v>
      </c>
      <c r="L545" s="14">
        <f t="shared" si="9"/>
        <v>36.4</v>
      </c>
    </row>
    <row r="546" spans="1:12" ht="19.5" x14ac:dyDescent="0.4">
      <c r="A546" s="1">
        <v>545</v>
      </c>
      <c r="B546" s="1" t="s">
        <v>13</v>
      </c>
      <c r="C546" s="1">
        <v>2019</v>
      </c>
      <c r="D546" t="s">
        <v>19</v>
      </c>
      <c r="E546" s="3">
        <v>121056</v>
      </c>
      <c r="F546" s="3">
        <v>237</v>
      </c>
      <c r="G546" s="13">
        <f>LN(F546/E546)</f>
        <v>-6.2359483862976246</v>
      </c>
      <c r="H546" s="4">
        <v>35.799999999999997</v>
      </c>
      <c r="I546" s="4">
        <f>((160*(1/10)*H546)+H546*(1/20)*874.5)*2</f>
        <v>4276.3099999999995</v>
      </c>
      <c r="J546" s="12">
        <v>8520</v>
      </c>
      <c r="K546" s="12">
        <v>38101</v>
      </c>
      <c r="L546" s="14">
        <f t="shared" si="9"/>
        <v>35.799999999999997</v>
      </c>
    </row>
    <row r="547" spans="1:12" ht="19.5" x14ac:dyDescent="0.4">
      <c r="A547" s="5">
        <v>546</v>
      </c>
      <c r="B547" s="5" t="s">
        <v>13</v>
      </c>
      <c r="C547" s="5">
        <v>2019</v>
      </c>
      <c r="D547" s="6" t="s">
        <v>20</v>
      </c>
      <c r="E547" s="7">
        <v>58171</v>
      </c>
      <c r="F547" s="7">
        <v>452</v>
      </c>
      <c r="G547" s="15">
        <f>LN(F547/E547)</f>
        <v>-4.8574600479167325</v>
      </c>
      <c r="H547" s="8">
        <v>37.200000000000003</v>
      </c>
      <c r="I547" s="8">
        <f>((160*(1/10)*H547)+H547*(1/20)*874.5)*2</f>
        <v>4443.5400000000009</v>
      </c>
      <c r="J547" s="10">
        <v>3816</v>
      </c>
      <c r="K547" s="10">
        <v>19636</v>
      </c>
      <c r="L547" s="16">
        <f t="shared" si="9"/>
        <v>37.200000000000003</v>
      </c>
    </row>
    <row r="548" spans="1:12" ht="19.5" x14ac:dyDescent="0.4">
      <c r="A548" s="1">
        <v>547</v>
      </c>
      <c r="B548" s="1" t="s">
        <v>13</v>
      </c>
      <c r="C548" s="1">
        <v>2023</v>
      </c>
      <c r="D548" t="s">
        <v>8</v>
      </c>
      <c r="E548" s="3">
        <v>248680</v>
      </c>
      <c r="F548" s="3">
        <v>2466</v>
      </c>
      <c r="G548" s="13">
        <f>LN(F548/E548)</f>
        <v>-4.6135695246589838</v>
      </c>
      <c r="H548" s="4">
        <v>8.6</v>
      </c>
      <c r="I548" s="4">
        <f>((160*(1/10)*H548)+H548*(1/20)*874.5)*2</f>
        <v>1027.27</v>
      </c>
      <c r="J548" s="12">
        <v>15767</v>
      </c>
      <c r="K548" s="12">
        <v>67093</v>
      </c>
      <c r="L548" s="14">
        <f t="shared" si="9"/>
        <v>8.6</v>
      </c>
    </row>
    <row r="549" spans="1:12" ht="19.5" x14ac:dyDescent="0.4">
      <c r="A549" s="1">
        <v>548</v>
      </c>
      <c r="B549" s="1" t="s">
        <v>13</v>
      </c>
      <c r="C549" s="1">
        <v>2023</v>
      </c>
      <c r="D549" t="s">
        <v>9</v>
      </c>
      <c r="E549" s="3">
        <v>289323</v>
      </c>
      <c r="F549" s="3">
        <v>1900</v>
      </c>
      <c r="G549" s="13">
        <f>LN(F549/E549)</f>
        <v>-5.0256898248963608</v>
      </c>
      <c r="H549" s="4">
        <v>14.8</v>
      </c>
      <c r="I549" s="4">
        <f>((160*(1/10)*H549)+H549*(1/20)*874.5)*2</f>
        <v>1767.8600000000001</v>
      </c>
      <c r="J549" s="12">
        <v>21442</v>
      </c>
      <c r="K549" s="12">
        <v>81653</v>
      </c>
      <c r="L549" s="14">
        <f t="shared" si="9"/>
        <v>14.8</v>
      </c>
    </row>
    <row r="550" spans="1:12" ht="19.5" x14ac:dyDescent="0.4">
      <c r="A550" s="1">
        <v>549</v>
      </c>
      <c r="B550" s="1" t="s">
        <v>13</v>
      </c>
      <c r="C550" s="1">
        <v>2023</v>
      </c>
      <c r="D550" t="s">
        <v>10</v>
      </c>
      <c r="E550" s="3">
        <v>265379</v>
      </c>
      <c r="F550" s="3">
        <v>2145</v>
      </c>
      <c r="G550" s="13">
        <f>LN(F550/E550)</f>
        <v>-4.818019440539735</v>
      </c>
      <c r="H550" s="4">
        <v>9.6</v>
      </c>
      <c r="I550" s="4">
        <f>((160*(1/10)*H550)+H550*(1/20)*874.5)*2</f>
        <v>1146.72</v>
      </c>
      <c r="J550" s="12">
        <v>19571</v>
      </c>
      <c r="K550" s="12">
        <v>74654</v>
      </c>
      <c r="L550" s="14">
        <f t="shared" si="9"/>
        <v>9.6</v>
      </c>
    </row>
    <row r="551" spans="1:12" ht="19.5" x14ac:dyDescent="0.4">
      <c r="A551" s="1">
        <v>550</v>
      </c>
      <c r="B551" s="1" t="s">
        <v>13</v>
      </c>
      <c r="C551" s="1">
        <v>2023</v>
      </c>
      <c r="D551" t="s">
        <v>11</v>
      </c>
      <c r="E551" s="3">
        <v>211835</v>
      </c>
      <c r="F551" s="3">
        <v>2010</v>
      </c>
      <c r="G551" s="13">
        <f>LN(F551/E551)</f>
        <v>-4.6576729476800773</v>
      </c>
      <c r="H551" s="4">
        <v>4</v>
      </c>
      <c r="I551" s="4">
        <f>((160*(1/10)*H551)+H551*(1/20)*874.5)*2</f>
        <v>477.8</v>
      </c>
      <c r="J551" s="12">
        <v>15073</v>
      </c>
      <c r="K551" s="12">
        <v>53700</v>
      </c>
      <c r="L551" s="14">
        <f t="shared" si="9"/>
        <v>4</v>
      </c>
    </row>
    <row r="552" spans="1:12" ht="19.5" x14ac:dyDescent="0.4">
      <c r="A552" s="1">
        <v>551</v>
      </c>
      <c r="B552" s="1" t="s">
        <v>13</v>
      </c>
      <c r="C552" s="1">
        <v>2023</v>
      </c>
      <c r="D552" t="s">
        <v>12</v>
      </c>
      <c r="E552" s="3">
        <v>125083</v>
      </c>
      <c r="F552" s="3">
        <v>1113</v>
      </c>
      <c r="G552" s="13">
        <f>LN(F552/E552)</f>
        <v>-4.7219184446584297</v>
      </c>
      <c r="H552" s="4">
        <v>18.600000000000001</v>
      </c>
      <c r="I552" s="4">
        <f>((160*(1/10)*H552)+H552*(1/20)*874.5)*2</f>
        <v>2221.7700000000004</v>
      </c>
      <c r="J552" s="12">
        <v>7751</v>
      </c>
      <c r="K552" s="12">
        <v>40932</v>
      </c>
      <c r="L552" s="14">
        <f t="shared" si="9"/>
        <v>18.600000000000001</v>
      </c>
    </row>
    <row r="553" spans="1:12" ht="19.5" x14ac:dyDescent="0.4">
      <c r="A553" s="1">
        <v>552</v>
      </c>
      <c r="B553" s="1" t="s">
        <v>13</v>
      </c>
      <c r="C553" s="1">
        <v>2023</v>
      </c>
      <c r="D553" t="s">
        <v>13</v>
      </c>
      <c r="E553" s="3">
        <v>225298</v>
      </c>
      <c r="F553" s="3">
        <v>34842</v>
      </c>
      <c r="G553" s="13">
        <f>LN(F553/E553)</f>
        <v>-1.8666004147280111</v>
      </c>
      <c r="H553" s="4">
        <v>2.8</v>
      </c>
      <c r="I553" s="4">
        <f>((160*(1/10)*H553)+H553*(1/20)*874.5)*2</f>
        <v>334.46</v>
      </c>
      <c r="J553" s="12">
        <v>15548</v>
      </c>
      <c r="K553" s="12">
        <v>59284</v>
      </c>
      <c r="L553" s="14">
        <f t="shared" si="9"/>
        <v>2.8</v>
      </c>
    </row>
    <row r="554" spans="1:12" ht="19.5" x14ac:dyDescent="0.4">
      <c r="A554" s="1">
        <v>553</v>
      </c>
      <c r="B554" s="1" t="s">
        <v>13</v>
      </c>
      <c r="C554" s="1">
        <v>2023</v>
      </c>
      <c r="D554" t="s">
        <v>14</v>
      </c>
      <c r="E554" s="3">
        <v>225298</v>
      </c>
      <c r="F554" s="3">
        <v>1331</v>
      </c>
      <c r="G554" s="13">
        <f>LN(F554/E554)</f>
        <v>-5.1314934309330047</v>
      </c>
      <c r="H554" s="4">
        <v>17</v>
      </c>
      <c r="I554" s="4">
        <f>((160*(1/10)*H554)+H554*(1/20)*874.5)*2</f>
        <v>2030.65</v>
      </c>
      <c r="J554" s="12">
        <v>8519</v>
      </c>
      <c r="K554" s="12">
        <v>35078</v>
      </c>
      <c r="L554" s="14">
        <f t="shared" si="9"/>
        <v>17</v>
      </c>
    </row>
    <row r="555" spans="1:12" ht="19.5" x14ac:dyDescent="0.4">
      <c r="A555" s="1">
        <v>554</v>
      </c>
      <c r="B555" s="1" t="s">
        <v>13</v>
      </c>
      <c r="C555" s="1">
        <v>2023</v>
      </c>
      <c r="D555" t="s">
        <v>15</v>
      </c>
      <c r="E555" s="3">
        <v>135777</v>
      </c>
      <c r="F555" s="3">
        <v>1624</v>
      </c>
      <c r="G555" s="13">
        <f>LN(F555/E555)</f>
        <v>-4.4261215923251891</v>
      </c>
      <c r="H555" s="4">
        <v>13.8</v>
      </c>
      <c r="I555" s="4">
        <f>((160*(1/10)*H555)+H555*(1/20)*874.5)*2</f>
        <v>1648.4100000000003</v>
      </c>
      <c r="J555" s="12">
        <v>8295</v>
      </c>
      <c r="K555" s="12">
        <v>50017</v>
      </c>
      <c r="L555" s="14">
        <f t="shared" si="9"/>
        <v>13.8</v>
      </c>
    </row>
    <row r="556" spans="1:12" ht="19.5" x14ac:dyDescent="0.4">
      <c r="A556" s="1">
        <v>555</v>
      </c>
      <c r="B556" s="1" t="s">
        <v>13</v>
      </c>
      <c r="C556" s="1">
        <v>2023</v>
      </c>
      <c r="D556" t="s">
        <v>16</v>
      </c>
      <c r="E556" s="3">
        <v>217040</v>
      </c>
      <c r="F556" s="3">
        <v>3359</v>
      </c>
      <c r="G556" s="13">
        <f>LN(F556/E556)</f>
        <v>-4.1684383577205208</v>
      </c>
      <c r="H556" s="4">
        <v>18.399999999999999</v>
      </c>
      <c r="I556" s="4">
        <f>((160*(1/10)*H556)+H556*(1/20)*874.5)*2</f>
        <v>2197.88</v>
      </c>
      <c r="J556" s="12">
        <v>16187</v>
      </c>
      <c r="K556" s="12">
        <v>63371</v>
      </c>
      <c r="L556" s="14">
        <f t="shared" si="9"/>
        <v>18.399999999999999</v>
      </c>
    </row>
    <row r="557" spans="1:12" ht="19.5" x14ac:dyDescent="0.4">
      <c r="A557" s="1">
        <v>556</v>
      </c>
      <c r="B557" s="1" t="s">
        <v>13</v>
      </c>
      <c r="C557" s="1">
        <v>2023</v>
      </c>
      <c r="D557" t="s">
        <v>17</v>
      </c>
      <c r="E557" s="3">
        <v>142625</v>
      </c>
      <c r="F557" s="3">
        <v>697</v>
      </c>
      <c r="G557" s="13">
        <f>LN(F557/E557)</f>
        <v>-5.3211886764038532</v>
      </c>
      <c r="H557" s="4">
        <v>38.4</v>
      </c>
      <c r="I557" s="4">
        <f>((160*(1/10)*H557)+H557*(1/20)*874.5)*2</f>
        <v>4586.88</v>
      </c>
      <c r="J557" s="12">
        <v>10775</v>
      </c>
      <c r="K557" s="12">
        <v>46523</v>
      </c>
      <c r="L557" s="14">
        <f t="shared" si="9"/>
        <v>38.4</v>
      </c>
    </row>
    <row r="558" spans="1:12" ht="19.5" x14ac:dyDescent="0.4">
      <c r="A558" s="1">
        <v>557</v>
      </c>
      <c r="B558" s="1" t="s">
        <v>13</v>
      </c>
      <c r="C558" s="1">
        <v>2023</v>
      </c>
      <c r="D558" t="s">
        <v>18</v>
      </c>
      <c r="E558" s="3">
        <v>56869</v>
      </c>
      <c r="F558" s="3">
        <v>141</v>
      </c>
      <c r="G558" s="13">
        <f>LN(F558/E558)</f>
        <v>-5.9997457658046516</v>
      </c>
      <c r="H558" s="4">
        <v>36.4</v>
      </c>
      <c r="I558" s="4">
        <f>((160*(1/10)*H558)+H558*(1/20)*874.5)*2</f>
        <v>4347.9800000000005</v>
      </c>
      <c r="J558" s="12">
        <v>4168</v>
      </c>
      <c r="K558" s="12">
        <v>19403</v>
      </c>
      <c r="L558" s="14">
        <f t="shared" si="9"/>
        <v>36.4</v>
      </c>
    </row>
    <row r="559" spans="1:12" ht="19.5" x14ac:dyDescent="0.4">
      <c r="A559" s="1">
        <v>558</v>
      </c>
      <c r="B559" s="1" t="s">
        <v>13</v>
      </c>
      <c r="C559" s="1">
        <v>2023</v>
      </c>
      <c r="D559" t="s">
        <v>19</v>
      </c>
      <c r="E559" s="3">
        <v>121056</v>
      </c>
      <c r="F559" s="3">
        <v>202</v>
      </c>
      <c r="G559" s="13">
        <f>LN(F559/E559)</f>
        <v>-6.395740830031551</v>
      </c>
      <c r="H559" s="4">
        <v>35.799999999999997</v>
      </c>
      <c r="I559" s="4">
        <f>((160*(1/10)*H559)+H559*(1/20)*874.5)*2</f>
        <v>4276.3099999999995</v>
      </c>
      <c r="J559" s="12">
        <v>8520</v>
      </c>
      <c r="K559" s="12">
        <v>38101</v>
      </c>
      <c r="L559" s="14">
        <f t="shared" si="9"/>
        <v>35.799999999999997</v>
      </c>
    </row>
    <row r="560" spans="1:12" ht="19.5" x14ac:dyDescent="0.4">
      <c r="A560" s="5">
        <v>559</v>
      </c>
      <c r="B560" s="5" t="s">
        <v>13</v>
      </c>
      <c r="C560" s="5">
        <v>2023</v>
      </c>
      <c r="D560" s="6" t="s">
        <v>20</v>
      </c>
      <c r="E560" s="7">
        <v>58171</v>
      </c>
      <c r="F560" s="7">
        <v>796</v>
      </c>
      <c r="G560" s="15">
        <f>LN(F560/E560)</f>
        <v>-4.291543041904581</v>
      </c>
      <c r="H560" s="8">
        <v>37.200000000000003</v>
      </c>
      <c r="I560" s="8">
        <f>((160*(1/10)*H560)+H560*(1/20)*874.5)*2</f>
        <v>4443.5400000000009</v>
      </c>
      <c r="J560" s="10">
        <v>3816</v>
      </c>
      <c r="K560" s="10">
        <v>19636</v>
      </c>
      <c r="L560" s="16">
        <f t="shared" si="9"/>
        <v>37.200000000000003</v>
      </c>
    </row>
    <row r="561" spans="1:12" ht="19.5" x14ac:dyDescent="0.4">
      <c r="A561" s="1">
        <v>560</v>
      </c>
      <c r="B561" s="1" t="s">
        <v>13</v>
      </c>
      <c r="C561" s="1">
        <v>2024</v>
      </c>
      <c r="D561" t="s">
        <v>8</v>
      </c>
      <c r="E561" s="3">
        <v>248680</v>
      </c>
      <c r="F561" s="3">
        <v>1765</v>
      </c>
      <c r="G561" s="13">
        <f>LN(F561/E561)</f>
        <v>-4.9480162390158764</v>
      </c>
      <c r="H561" s="4">
        <v>8.6</v>
      </c>
      <c r="I561" s="4">
        <f>((160*(1/10)*H561)+H561*(1/20)*874.5)*2</f>
        <v>1027.27</v>
      </c>
      <c r="J561" s="12">
        <v>15767</v>
      </c>
      <c r="K561" s="12">
        <v>67093</v>
      </c>
      <c r="L561" s="14">
        <f t="shared" si="9"/>
        <v>8.6</v>
      </c>
    </row>
    <row r="562" spans="1:12" ht="19.5" x14ac:dyDescent="0.4">
      <c r="A562" s="1">
        <v>561</v>
      </c>
      <c r="B562" s="1" t="s">
        <v>13</v>
      </c>
      <c r="C562" s="1">
        <v>2024</v>
      </c>
      <c r="D562" t="s">
        <v>9</v>
      </c>
      <c r="E562" s="3">
        <v>289323</v>
      </c>
      <c r="F562" s="3">
        <v>2574</v>
      </c>
      <c r="G562" s="13">
        <f>LN(F562/E562)</f>
        <v>-4.7220826018948214</v>
      </c>
      <c r="H562" s="4">
        <v>14.8</v>
      </c>
      <c r="I562" s="4">
        <f>((160*(1/10)*H562)+H562*(1/20)*874.5)*2</f>
        <v>1767.8600000000001</v>
      </c>
      <c r="J562" s="12">
        <v>21442</v>
      </c>
      <c r="K562" s="12">
        <v>81653</v>
      </c>
      <c r="L562" s="14">
        <f t="shared" si="9"/>
        <v>14.8</v>
      </c>
    </row>
    <row r="563" spans="1:12" ht="19.5" x14ac:dyDescent="0.4">
      <c r="A563" s="1">
        <v>562</v>
      </c>
      <c r="B563" s="1" t="s">
        <v>13</v>
      </c>
      <c r="C563" s="1">
        <v>2024</v>
      </c>
      <c r="D563" t="s">
        <v>10</v>
      </c>
      <c r="E563" s="3">
        <v>265379</v>
      </c>
      <c r="F563" s="3">
        <v>2356</v>
      </c>
      <c r="G563" s="13">
        <f>LN(F563/E563)</f>
        <v>-4.7241937271303751</v>
      </c>
      <c r="H563" s="4">
        <v>9.6</v>
      </c>
      <c r="I563" s="4">
        <f>((160*(1/10)*H563)+H563*(1/20)*874.5)*2</f>
        <v>1146.72</v>
      </c>
      <c r="J563" s="12">
        <v>19571</v>
      </c>
      <c r="K563" s="12">
        <v>74654</v>
      </c>
      <c r="L563" s="14">
        <f t="shared" si="9"/>
        <v>9.6</v>
      </c>
    </row>
    <row r="564" spans="1:12" ht="19.5" x14ac:dyDescent="0.4">
      <c r="A564" s="1">
        <v>563</v>
      </c>
      <c r="B564" s="1" t="s">
        <v>13</v>
      </c>
      <c r="C564" s="1">
        <v>2024</v>
      </c>
      <c r="D564" t="s">
        <v>11</v>
      </c>
      <c r="E564" s="3">
        <v>211835</v>
      </c>
      <c r="F564" s="3">
        <v>4341</v>
      </c>
      <c r="G564" s="13">
        <f>LN(F564/E564)</f>
        <v>-3.8877029334336051</v>
      </c>
      <c r="H564" s="4">
        <v>4</v>
      </c>
      <c r="I564" s="4">
        <f>((160*(1/10)*H564)+H564*(1/20)*874.5)*2</f>
        <v>477.8</v>
      </c>
      <c r="J564" s="12">
        <v>15073</v>
      </c>
      <c r="K564" s="12">
        <v>53700</v>
      </c>
      <c r="L564" s="14">
        <f t="shared" si="9"/>
        <v>4</v>
      </c>
    </row>
    <row r="565" spans="1:12" ht="19.5" x14ac:dyDescent="0.4">
      <c r="A565" s="1">
        <v>564</v>
      </c>
      <c r="B565" s="1" t="s">
        <v>13</v>
      </c>
      <c r="C565" s="1">
        <v>2024</v>
      </c>
      <c r="D565" t="s">
        <v>12</v>
      </c>
      <c r="E565" s="3">
        <v>125083</v>
      </c>
      <c r="F565" s="3">
        <v>422</v>
      </c>
      <c r="G565" s="13">
        <f>LN(F565/E565)</f>
        <v>-5.6917274818979626</v>
      </c>
      <c r="H565" s="4">
        <v>18.600000000000001</v>
      </c>
      <c r="I565" s="4">
        <f>((160*(1/10)*H565)+H565*(1/20)*874.5)*2</f>
        <v>2221.7700000000004</v>
      </c>
      <c r="J565" s="12">
        <v>7751</v>
      </c>
      <c r="K565" s="12">
        <v>40932</v>
      </c>
      <c r="L565" s="14">
        <f t="shared" si="9"/>
        <v>18.600000000000001</v>
      </c>
    </row>
    <row r="566" spans="1:12" ht="19.5" x14ac:dyDescent="0.4">
      <c r="A566" s="1">
        <v>565</v>
      </c>
      <c r="B566" s="1" t="s">
        <v>13</v>
      </c>
      <c r="C566" s="1">
        <v>2024</v>
      </c>
      <c r="D566" t="s">
        <v>13</v>
      </c>
      <c r="E566" s="3">
        <v>225298</v>
      </c>
      <c r="F566" s="3">
        <v>33965</v>
      </c>
      <c r="G566" s="13">
        <f>LN(F566/E566)</f>
        <v>-1.8920933877027137</v>
      </c>
      <c r="H566" s="4">
        <v>2.8</v>
      </c>
      <c r="I566" s="4">
        <f>((160*(1/10)*H566)+H566*(1/20)*874.5)*2</f>
        <v>334.46</v>
      </c>
      <c r="J566" s="12">
        <v>15548</v>
      </c>
      <c r="K566" s="12">
        <v>59284</v>
      </c>
      <c r="L566" s="14">
        <f t="shared" si="9"/>
        <v>2.8</v>
      </c>
    </row>
    <row r="567" spans="1:12" ht="19.5" x14ac:dyDescent="0.4">
      <c r="A567" s="1">
        <v>566</v>
      </c>
      <c r="B567" s="1" t="s">
        <v>13</v>
      </c>
      <c r="C567" s="1">
        <v>2024</v>
      </c>
      <c r="D567" t="s">
        <v>14</v>
      </c>
      <c r="E567" s="3">
        <v>225298</v>
      </c>
      <c r="F567" s="3">
        <v>2395</v>
      </c>
      <c r="G567" s="13">
        <f>LN(F567/E567)</f>
        <v>-4.5440407394831004</v>
      </c>
      <c r="H567" s="4">
        <v>17</v>
      </c>
      <c r="I567" s="4">
        <f>((160*(1/10)*H567)+H567*(1/20)*874.5)*2</f>
        <v>2030.65</v>
      </c>
      <c r="J567" s="12">
        <v>8519</v>
      </c>
      <c r="K567" s="12">
        <v>35078</v>
      </c>
      <c r="L567" s="14">
        <f t="shared" si="9"/>
        <v>17</v>
      </c>
    </row>
    <row r="568" spans="1:12" ht="19.5" x14ac:dyDescent="0.4">
      <c r="A568" s="1">
        <v>567</v>
      </c>
      <c r="B568" s="1" t="s">
        <v>13</v>
      </c>
      <c r="C568" s="1">
        <v>2024</v>
      </c>
      <c r="D568" t="s">
        <v>15</v>
      </c>
      <c r="E568" s="3">
        <v>135777</v>
      </c>
      <c r="F568" s="3">
        <v>791</v>
      </c>
      <c r="G568" s="13">
        <f>LN(F568/E568)</f>
        <v>-5.1454711452791591</v>
      </c>
      <c r="H568" s="4">
        <v>13.8</v>
      </c>
      <c r="I568" s="4">
        <f>((160*(1/10)*H568)+H568*(1/20)*874.5)*2</f>
        <v>1648.4100000000003</v>
      </c>
      <c r="J568" s="12">
        <v>8295</v>
      </c>
      <c r="K568" s="12">
        <v>50017</v>
      </c>
      <c r="L568" s="14">
        <f t="shared" si="9"/>
        <v>13.8</v>
      </c>
    </row>
    <row r="569" spans="1:12" ht="19.5" x14ac:dyDescent="0.4">
      <c r="A569" s="1">
        <v>568</v>
      </c>
      <c r="B569" s="1" t="s">
        <v>13</v>
      </c>
      <c r="C569" s="1">
        <v>2024</v>
      </c>
      <c r="D569" t="s">
        <v>16</v>
      </c>
      <c r="E569" s="3">
        <v>217040</v>
      </c>
      <c r="F569" s="3">
        <v>1275</v>
      </c>
      <c r="G569" s="13">
        <f>LN(F569/E569)</f>
        <v>-5.1371354897402872</v>
      </c>
      <c r="H569" s="4">
        <v>18.399999999999999</v>
      </c>
      <c r="I569" s="4">
        <f>((160*(1/10)*H569)+H569*(1/20)*874.5)*2</f>
        <v>2197.88</v>
      </c>
      <c r="J569" s="12">
        <v>16187</v>
      </c>
      <c r="K569" s="12">
        <v>63371</v>
      </c>
      <c r="L569" s="14">
        <f t="shared" si="9"/>
        <v>18.399999999999999</v>
      </c>
    </row>
    <row r="570" spans="1:12" ht="19.5" x14ac:dyDescent="0.4">
      <c r="A570" s="1">
        <v>569</v>
      </c>
      <c r="B570" s="1" t="s">
        <v>13</v>
      </c>
      <c r="C570" s="1">
        <v>2024</v>
      </c>
      <c r="D570" t="s">
        <v>17</v>
      </c>
      <c r="E570" s="3">
        <v>142625</v>
      </c>
      <c r="F570" s="3">
        <v>285</v>
      </c>
      <c r="G570" s="13">
        <f>LN(F570/E570)</f>
        <v>-6.2154849068957265</v>
      </c>
      <c r="H570" s="4">
        <v>38.4</v>
      </c>
      <c r="I570" s="4">
        <f>((160*(1/10)*H570)+H570*(1/20)*874.5)*2</f>
        <v>4586.88</v>
      </c>
      <c r="J570" s="12">
        <v>10775</v>
      </c>
      <c r="K570" s="12">
        <v>46523</v>
      </c>
      <c r="L570" s="14">
        <f t="shared" si="9"/>
        <v>38.4</v>
      </c>
    </row>
    <row r="571" spans="1:12" ht="19.5" x14ac:dyDescent="0.4">
      <c r="A571" s="1">
        <v>570</v>
      </c>
      <c r="B571" s="1" t="s">
        <v>13</v>
      </c>
      <c r="C571" s="1">
        <v>2024</v>
      </c>
      <c r="D571" t="s">
        <v>18</v>
      </c>
      <c r="E571" s="3">
        <v>56869</v>
      </c>
      <c r="F571" s="3">
        <v>753</v>
      </c>
      <c r="G571" s="13">
        <f>LN(F571/E571)</f>
        <v>-4.3244404283829265</v>
      </c>
      <c r="H571" s="4">
        <v>36.4</v>
      </c>
      <c r="I571" s="4">
        <f>((160*(1/10)*H571)+H571*(1/20)*874.5)*2</f>
        <v>4347.9800000000005</v>
      </c>
      <c r="J571" s="12">
        <v>4168</v>
      </c>
      <c r="K571" s="12">
        <v>19403</v>
      </c>
      <c r="L571" s="14">
        <f t="shared" si="9"/>
        <v>36.4</v>
      </c>
    </row>
    <row r="572" spans="1:12" ht="19.5" x14ac:dyDescent="0.4">
      <c r="A572" s="1">
        <v>571</v>
      </c>
      <c r="B572" s="1" t="s">
        <v>13</v>
      </c>
      <c r="C572" s="1">
        <v>2024</v>
      </c>
      <c r="D572" t="s">
        <v>19</v>
      </c>
      <c r="E572" s="3">
        <v>121056</v>
      </c>
      <c r="F572" s="3">
        <v>547</v>
      </c>
      <c r="G572" s="13">
        <f>LN(F572/E572)</f>
        <v>-5.3995597250107741</v>
      </c>
      <c r="H572" s="4">
        <v>35.799999999999997</v>
      </c>
      <c r="I572" s="4">
        <f>((160*(1/10)*H572)+H572*(1/20)*874.5)*2</f>
        <v>4276.3099999999995</v>
      </c>
      <c r="J572" s="12">
        <v>8520</v>
      </c>
      <c r="K572" s="12">
        <v>38101</v>
      </c>
      <c r="L572" s="14">
        <f t="shared" si="9"/>
        <v>35.799999999999997</v>
      </c>
    </row>
    <row r="573" spans="1:12" ht="19.5" x14ac:dyDescent="0.4">
      <c r="A573" s="5">
        <v>572</v>
      </c>
      <c r="B573" s="5" t="s">
        <v>13</v>
      </c>
      <c r="C573" s="5">
        <v>2024</v>
      </c>
      <c r="D573" s="6" t="s">
        <v>20</v>
      </c>
      <c r="E573" s="7">
        <v>58171</v>
      </c>
      <c r="F573" s="7">
        <v>0</v>
      </c>
      <c r="G573" s="15"/>
      <c r="H573" s="8">
        <v>37.200000000000003</v>
      </c>
      <c r="I573" s="8">
        <f>((160*(1/10)*H573)+H573*(1/20)*874.5)*2</f>
        <v>4443.5400000000009</v>
      </c>
      <c r="J573" s="10">
        <v>3816</v>
      </c>
      <c r="K573" s="10">
        <v>19636</v>
      </c>
      <c r="L573" s="16"/>
    </row>
    <row r="574" spans="1:12" ht="19.5" x14ac:dyDescent="0.4">
      <c r="A574" s="1">
        <v>573</v>
      </c>
      <c r="B574" s="1" t="s">
        <v>32</v>
      </c>
      <c r="C574" s="1">
        <v>2018</v>
      </c>
      <c r="D574" t="s">
        <v>8</v>
      </c>
      <c r="E574" s="3">
        <v>248680</v>
      </c>
      <c r="F574" s="3">
        <v>4318</v>
      </c>
      <c r="G574" s="13">
        <f>LN(F574/E574)</f>
        <v>-4.0533745973085207</v>
      </c>
      <c r="H574" s="4">
        <v>12.4</v>
      </c>
      <c r="I574" s="4">
        <f>((160*(1/10)*H574)+H574*(1/20)*874.5)*2</f>
        <v>1481.18</v>
      </c>
      <c r="J574" s="12">
        <v>15767</v>
      </c>
      <c r="K574" s="12">
        <v>67093</v>
      </c>
      <c r="L574" s="14">
        <f t="shared" si="9"/>
        <v>12.4</v>
      </c>
    </row>
    <row r="575" spans="1:12" ht="19.5" x14ac:dyDescent="0.4">
      <c r="A575" s="1">
        <v>574</v>
      </c>
      <c r="B575" s="1" t="s">
        <v>32</v>
      </c>
      <c r="C575" s="1">
        <v>2018</v>
      </c>
      <c r="D575" t="s">
        <v>9</v>
      </c>
      <c r="E575" s="3">
        <v>289323</v>
      </c>
      <c r="F575" s="3">
        <v>2838</v>
      </c>
      <c r="G575" s="13">
        <f>LN(F575/E575)</f>
        <v>-4.6244441323309049</v>
      </c>
      <c r="H575" s="4">
        <v>17</v>
      </c>
      <c r="I575" s="4">
        <f>((160*(1/10)*H575)+H575*(1/20)*874.5)*2</f>
        <v>2030.65</v>
      </c>
      <c r="J575" s="12">
        <v>21442</v>
      </c>
      <c r="K575" s="12">
        <v>81653</v>
      </c>
      <c r="L575" s="14">
        <f t="shared" si="9"/>
        <v>17</v>
      </c>
    </row>
    <row r="576" spans="1:12" ht="19.5" x14ac:dyDescent="0.4">
      <c r="A576" s="1">
        <v>575</v>
      </c>
      <c r="B576" s="1" t="s">
        <v>32</v>
      </c>
      <c r="C576" s="1">
        <v>2018</v>
      </c>
      <c r="D576" t="s">
        <v>10</v>
      </c>
      <c r="E576" s="3">
        <v>265379</v>
      </c>
      <c r="F576" s="3">
        <v>4977</v>
      </c>
      <c r="G576" s="13">
        <f>LN(F576/E576)</f>
        <v>-3.9763316930432979</v>
      </c>
      <c r="H576" s="4">
        <v>12.2</v>
      </c>
      <c r="I576" s="4">
        <f>((160*(1/10)*H576)+H576*(1/20)*874.5)*2</f>
        <v>1457.29</v>
      </c>
      <c r="J576" s="12">
        <v>19571</v>
      </c>
      <c r="K576" s="12">
        <v>74654</v>
      </c>
      <c r="L576" s="14">
        <f t="shared" si="9"/>
        <v>12.2</v>
      </c>
    </row>
    <row r="577" spans="1:12" ht="19.5" x14ac:dyDescent="0.4">
      <c r="A577" s="1">
        <v>576</v>
      </c>
      <c r="B577" s="1" t="s">
        <v>32</v>
      </c>
      <c r="C577" s="1">
        <v>2018</v>
      </c>
      <c r="D577" t="s">
        <v>11</v>
      </c>
      <c r="E577" s="3">
        <v>211835</v>
      </c>
      <c r="F577" s="3">
        <v>8421</v>
      </c>
      <c r="G577" s="13">
        <f>LN(F577/E577)</f>
        <v>-3.2250790837032066</v>
      </c>
      <c r="H577" s="4">
        <v>3.4</v>
      </c>
      <c r="I577" s="4">
        <f>((160*(1/10)*H577)+H577*(1/20)*874.5)*2</f>
        <v>406.13000000000005</v>
      </c>
      <c r="J577" s="12">
        <v>15073</v>
      </c>
      <c r="K577" s="12">
        <v>53700</v>
      </c>
      <c r="L577" s="14">
        <f t="shared" si="9"/>
        <v>3.4</v>
      </c>
    </row>
    <row r="578" spans="1:12" ht="19.5" x14ac:dyDescent="0.4">
      <c r="A578" s="1">
        <v>577</v>
      </c>
      <c r="B578" s="1" t="s">
        <v>32</v>
      </c>
      <c r="C578" s="1">
        <v>2018</v>
      </c>
      <c r="D578" t="s">
        <v>12</v>
      </c>
      <c r="E578" s="3">
        <v>125083</v>
      </c>
      <c r="F578" s="3">
        <v>1821</v>
      </c>
      <c r="G578" s="13">
        <f>LN(F578/E578)</f>
        <v>-4.2295917162063663</v>
      </c>
      <c r="H578" s="4">
        <v>17.2</v>
      </c>
      <c r="I578" s="4">
        <f>((160*(1/10)*H578)+H578*(1/20)*874.5)*2</f>
        <v>2054.54</v>
      </c>
      <c r="J578" s="12">
        <v>7751</v>
      </c>
      <c r="K578" s="12">
        <v>40932</v>
      </c>
      <c r="L578" s="14">
        <f t="shared" si="9"/>
        <v>17.2</v>
      </c>
    </row>
    <row r="579" spans="1:12" ht="19.5" x14ac:dyDescent="0.4">
      <c r="A579" s="1">
        <v>578</v>
      </c>
      <c r="B579" s="1" t="s">
        <v>32</v>
      </c>
      <c r="C579" s="1">
        <v>2018</v>
      </c>
      <c r="D579" t="s">
        <v>13</v>
      </c>
      <c r="E579" s="3">
        <v>225298</v>
      </c>
      <c r="F579" s="3">
        <v>61945</v>
      </c>
      <c r="G579" s="13">
        <f>LN(F579/E579)</f>
        <v>-1.2911770757782768</v>
      </c>
      <c r="H579" s="4">
        <v>1.2</v>
      </c>
      <c r="I579" s="4">
        <f>((160*(1/10)*H579)+H579*(1/20)*874.5)*2</f>
        <v>143.34</v>
      </c>
      <c r="J579" s="12">
        <v>15548</v>
      </c>
      <c r="K579" s="12">
        <v>59284</v>
      </c>
      <c r="L579" s="14">
        <f t="shared" si="9"/>
        <v>1.2</v>
      </c>
    </row>
    <row r="580" spans="1:12" ht="19.5" x14ac:dyDescent="0.4">
      <c r="A580" s="1">
        <v>579</v>
      </c>
      <c r="B580" s="1" t="s">
        <v>32</v>
      </c>
      <c r="C580" s="1">
        <v>2018</v>
      </c>
      <c r="D580" t="s">
        <v>14</v>
      </c>
      <c r="E580" s="3">
        <v>225298</v>
      </c>
      <c r="F580" s="3">
        <v>3916</v>
      </c>
      <c r="G580" s="13">
        <f>LN(F580/E580)</f>
        <v>-4.0523532456777147</v>
      </c>
      <c r="H580" s="4">
        <v>15</v>
      </c>
      <c r="I580" s="4">
        <f>((160*(1/10)*H580)+H580*(1/20)*874.5)*2</f>
        <v>1791.75</v>
      </c>
      <c r="J580" s="12">
        <v>8519</v>
      </c>
      <c r="K580" s="12">
        <v>35078</v>
      </c>
      <c r="L580" s="14">
        <f t="shared" si="9"/>
        <v>15</v>
      </c>
    </row>
    <row r="581" spans="1:12" ht="19.5" x14ac:dyDescent="0.4">
      <c r="A581" s="1">
        <v>580</v>
      </c>
      <c r="B581" s="1" t="s">
        <v>32</v>
      </c>
      <c r="C581" s="1">
        <v>2018</v>
      </c>
      <c r="D581" t="s">
        <v>15</v>
      </c>
      <c r="E581" s="3">
        <v>135777</v>
      </c>
      <c r="F581" s="3">
        <v>5506</v>
      </c>
      <c r="G581" s="13">
        <f>LN(F581/E581)</f>
        <v>-3.2051754273442601</v>
      </c>
      <c r="H581" s="4">
        <v>13</v>
      </c>
      <c r="I581" s="4">
        <f>((160*(1/10)*H581)+H581*(1/20)*874.5)*2</f>
        <v>1552.8500000000001</v>
      </c>
      <c r="J581" s="12">
        <v>8295</v>
      </c>
      <c r="K581" s="12">
        <v>50017</v>
      </c>
      <c r="L581" s="14">
        <f t="shared" si="9"/>
        <v>13</v>
      </c>
    </row>
    <row r="582" spans="1:12" ht="19.5" x14ac:dyDescent="0.4">
      <c r="A582" s="1">
        <v>581</v>
      </c>
      <c r="B582" s="1" t="s">
        <v>32</v>
      </c>
      <c r="C582" s="1">
        <v>2018</v>
      </c>
      <c r="D582" t="s">
        <v>16</v>
      </c>
      <c r="E582" s="3">
        <v>217040</v>
      </c>
      <c r="F582" s="3">
        <v>5672</v>
      </c>
      <c r="G582" s="13">
        <f>LN(F582/E582)</f>
        <v>-3.6445398791208499</v>
      </c>
      <c r="H582" s="4">
        <v>20.399999999999999</v>
      </c>
      <c r="I582" s="4">
        <f>((160*(1/10)*H582)+H582*(1/20)*874.5)*2</f>
        <v>2436.7799999999997</v>
      </c>
      <c r="J582" s="12">
        <v>16187</v>
      </c>
      <c r="K582" s="12">
        <v>63371</v>
      </c>
      <c r="L582" s="14">
        <f t="shared" si="9"/>
        <v>20.399999999999999</v>
      </c>
    </row>
    <row r="583" spans="1:12" ht="19.5" x14ac:dyDescent="0.4">
      <c r="A583" s="1">
        <v>582</v>
      </c>
      <c r="B583" s="1" t="s">
        <v>32</v>
      </c>
      <c r="C583" s="1">
        <v>2018</v>
      </c>
      <c r="D583" t="s">
        <v>17</v>
      </c>
      <c r="E583" s="3">
        <v>142625</v>
      </c>
      <c r="F583" s="3">
        <v>1017</v>
      </c>
      <c r="G583" s="13">
        <f>LN(F583/E583)</f>
        <v>-4.9433616911158165</v>
      </c>
      <c r="H583" s="4">
        <v>38.799999999999997</v>
      </c>
      <c r="I583" s="4">
        <f>((160*(1/10)*H583)+H583*(1/20)*874.5)*2</f>
        <v>4634.66</v>
      </c>
      <c r="J583" s="12">
        <v>10775</v>
      </c>
      <c r="K583" s="12">
        <v>46523</v>
      </c>
      <c r="L583" s="14">
        <f t="shared" si="9"/>
        <v>38.799999999999997</v>
      </c>
    </row>
    <row r="584" spans="1:12" ht="19.5" x14ac:dyDescent="0.4">
      <c r="A584" s="1">
        <v>583</v>
      </c>
      <c r="B584" s="1" t="s">
        <v>32</v>
      </c>
      <c r="C584" s="1">
        <v>2018</v>
      </c>
      <c r="D584" t="s">
        <v>18</v>
      </c>
      <c r="E584" s="3">
        <v>56869</v>
      </c>
      <c r="F584" s="3">
        <v>59</v>
      </c>
      <c r="G584" s="13">
        <f>LN(F584/E584)</f>
        <v>-6.8709682122771012</v>
      </c>
      <c r="H584" s="4">
        <v>38.6</v>
      </c>
      <c r="I584" s="4">
        <f>((160*(1/10)*H584)+H584*(1/20)*874.5)*2</f>
        <v>4610.7700000000004</v>
      </c>
      <c r="J584" s="12">
        <v>4168</v>
      </c>
      <c r="K584" s="12">
        <v>19403</v>
      </c>
      <c r="L584" s="14">
        <f t="shared" si="9"/>
        <v>38.6</v>
      </c>
    </row>
    <row r="585" spans="1:12" ht="19.5" x14ac:dyDescent="0.4">
      <c r="A585" s="1">
        <v>584</v>
      </c>
      <c r="B585" s="1" t="s">
        <v>32</v>
      </c>
      <c r="C585" s="1">
        <v>2018</v>
      </c>
      <c r="D585" t="s">
        <v>19</v>
      </c>
      <c r="E585" s="3">
        <v>121056</v>
      </c>
      <c r="F585" s="3">
        <v>1035</v>
      </c>
      <c r="G585" s="13">
        <f>LN(F585/E585)</f>
        <v>-4.7618518217332859</v>
      </c>
      <c r="H585" s="4">
        <v>36.799999999999997</v>
      </c>
      <c r="I585" s="4">
        <f>((160*(1/10)*H585)+H585*(1/20)*874.5)*2</f>
        <v>4395.76</v>
      </c>
      <c r="J585" s="12">
        <v>8520</v>
      </c>
      <c r="K585" s="12">
        <v>38101</v>
      </c>
      <c r="L585" s="14">
        <f t="shared" si="9"/>
        <v>36.799999999999997</v>
      </c>
    </row>
    <row r="586" spans="1:12" ht="19.5" x14ac:dyDescent="0.4">
      <c r="A586" s="5">
        <v>585</v>
      </c>
      <c r="B586" s="5" t="s">
        <v>32</v>
      </c>
      <c r="C586" s="5">
        <v>2018</v>
      </c>
      <c r="D586" s="6" t="s">
        <v>20</v>
      </c>
      <c r="E586" s="7">
        <v>58171</v>
      </c>
      <c r="F586" s="7">
        <v>298</v>
      </c>
      <c r="G586" s="15">
        <f>LN(F586/E586)</f>
        <v>-5.2740487412435595</v>
      </c>
      <c r="H586" s="8">
        <v>35.6</v>
      </c>
      <c r="I586" s="8">
        <f>((160*(1/10)*H586)+H586*(1/20)*874.5)*2</f>
        <v>4252.42</v>
      </c>
      <c r="J586" s="10">
        <v>3816</v>
      </c>
      <c r="K586" s="10">
        <v>19636</v>
      </c>
      <c r="L586" s="16">
        <f t="shared" si="9"/>
        <v>35.6</v>
      </c>
    </row>
    <row r="587" spans="1:12" ht="19.5" x14ac:dyDescent="0.4">
      <c r="A587" s="1">
        <v>586</v>
      </c>
      <c r="B587" s="1" t="s">
        <v>32</v>
      </c>
      <c r="C587" s="1">
        <v>2019</v>
      </c>
      <c r="D587" t="s">
        <v>8</v>
      </c>
      <c r="E587" s="3">
        <v>248680</v>
      </c>
      <c r="F587" s="3">
        <v>5597</v>
      </c>
      <c r="G587" s="13">
        <f>LN(F587/E587)</f>
        <v>-3.7939361894919141</v>
      </c>
      <c r="H587" s="4">
        <v>12.4</v>
      </c>
      <c r="I587" s="4">
        <f>((160*(1/10)*H587)+H587*(1/20)*874.5)*2</f>
        <v>1481.18</v>
      </c>
      <c r="J587" s="12">
        <v>15767</v>
      </c>
      <c r="K587" s="12">
        <v>67093</v>
      </c>
      <c r="L587" s="14">
        <f t="shared" si="9"/>
        <v>12.4</v>
      </c>
    </row>
    <row r="588" spans="1:12" ht="19.5" x14ac:dyDescent="0.4">
      <c r="A588" s="1">
        <v>587</v>
      </c>
      <c r="B588" s="1" t="s">
        <v>32</v>
      </c>
      <c r="C588" s="1">
        <v>2019</v>
      </c>
      <c r="D588" t="s">
        <v>9</v>
      </c>
      <c r="E588" s="3">
        <v>289323</v>
      </c>
      <c r="F588" s="3">
        <v>3676</v>
      </c>
      <c r="G588" s="13">
        <f>LN(F588/E588)</f>
        <v>-4.3657185065753152</v>
      </c>
      <c r="H588" s="4">
        <v>17</v>
      </c>
      <c r="I588" s="4">
        <f>((160*(1/10)*H588)+H588*(1/20)*874.5)*2</f>
        <v>2030.65</v>
      </c>
      <c r="J588" s="12">
        <v>21442</v>
      </c>
      <c r="K588" s="12">
        <v>81653</v>
      </c>
      <c r="L588" s="14">
        <f t="shared" si="9"/>
        <v>17</v>
      </c>
    </row>
    <row r="589" spans="1:12" ht="19.5" x14ac:dyDescent="0.4">
      <c r="A589" s="1">
        <v>588</v>
      </c>
      <c r="B589" s="1" t="s">
        <v>32</v>
      </c>
      <c r="C589" s="1">
        <v>2019</v>
      </c>
      <c r="D589" t="s">
        <v>10</v>
      </c>
      <c r="E589" s="3">
        <v>265379</v>
      </c>
      <c r="F589" s="3">
        <v>5946</v>
      </c>
      <c r="G589" s="13">
        <f>LN(F589/E589)</f>
        <v>-3.7984402683438092</v>
      </c>
      <c r="H589" s="4">
        <v>12.2</v>
      </c>
      <c r="I589" s="4">
        <f>((160*(1/10)*H589)+H589*(1/20)*874.5)*2</f>
        <v>1457.29</v>
      </c>
      <c r="J589" s="12">
        <v>19571</v>
      </c>
      <c r="K589" s="12">
        <v>74654</v>
      </c>
      <c r="L589" s="14">
        <f t="shared" si="9"/>
        <v>12.2</v>
      </c>
    </row>
    <row r="590" spans="1:12" ht="19.5" x14ac:dyDescent="0.4">
      <c r="A590" s="1">
        <v>589</v>
      </c>
      <c r="B590" s="1" t="s">
        <v>32</v>
      </c>
      <c r="C590" s="1">
        <v>2019</v>
      </c>
      <c r="D590" t="s">
        <v>11</v>
      </c>
      <c r="E590" s="3">
        <v>211835</v>
      </c>
      <c r="F590" s="3">
        <v>7817</v>
      </c>
      <c r="G590" s="13">
        <f>LN(F590/E590)</f>
        <v>-3.2995068205128684</v>
      </c>
      <c r="H590" s="4">
        <v>3.4</v>
      </c>
      <c r="I590" s="4">
        <f>((160*(1/10)*H590)+H590*(1/20)*874.5)*2</f>
        <v>406.13000000000005</v>
      </c>
      <c r="J590" s="12">
        <v>15073</v>
      </c>
      <c r="K590" s="12">
        <v>53700</v>
      </c>
      <c r="L590" s="14">
        <f t="shared" si="9"/>
        <v>3.4</v>
      </c>
    </row>
    <row r="591" spans="1:12" ht="19.5" x14ac:dyDescent="0.4">
      <c r="A591" s="1">
        <v>590</v>
      </c>
      <c r="B591" s="1" t="s">
        <v>32</v>
      </c>
      <c r="C591" s="1">
        <v>2019</v>
      </c>
      <c r="D591" t="s">
        <v>12</v>
      </c>
      <c r="E591" s="3">
        <v>125083</v>
      </c>
      <c r="F591" s="3">
        <v>2716</v>
      </c>
      <c r="G591" s="13">
        <f>LN(F591/E591)</f>
        <v>-3.829817307255388</v>
      </c>
      <c r="H591" s="4">
        <v>17.2</v>
      </c>
      <c r="I591" s="4">
        <f>((160*(1/10)*H591)+H591*(1/20)*874.5)*2</f>
        <v>2054.54</v>
      </c>
      <c r="J591" s="12">
        <v>7751</v>
      </c>
      <c r="K591" s="12">
        <v>40932</v>
      </c>
      <c r="L591" s="14">
        <f t="shared" si="9"/>
        <v>17.2</v>
      </c>
    </row>
    <row r="592" spans="1:12" ht="19.5" x14ac:dyDescent="0.4">
      <c r="A592" s="1">
        <v>591</v>
      </c>
      <c r="B592" s="1" t="s">
        <v>32</v>
      </c>
      <c r="C592" s="1">
        <v>2019</v>
      </c>
      <c r="D592" t="s">
        <v>13</v>
      </c>
      <c r="E592" s="3">
        <v>225298</v>
      </c>
      <c r="F592" s="3">
        <v>75846</v>
      </c>
      <c r="G592" s="13">
        <f>LN(F592/E592)</f>
        <v>-1.0887190016045034</v>
      </c>
      <c r="H592" s="4">
        <v>1.2</v>
      </c>
      <c r="I592" s="4">
        <f>((160*(1/10)*H592)+H592*(1/20)*874.5)*2</f>
        <v>143.34</v>
      </c>
      <c r="J592" s="12">
        <v>15548</v>
      </c>
      <c r="K592" s="12">
        <v>59284</v>
      </c>
      <c r="L592" s="14">
        <f t="shared" si="9"/>
        <v>1.2</v>
      </c>
    </row>
    <row r="593" spans="1:12" ht="19.5" x14ac:dyDescent="0.4">
      <c r="A593" s="1">
        <v>592</v>
      </c>
      <c r="B593" s="1" t="s">
        <v>32</v>
      </c>
      <c r="C593" s="1">
        <v>2019</v>
      </c>
      <c r="D593" t="s">
        <v>14</v>
      </c>
      <c r="E593" s="3">
        <v>225298</v>
      </c>
      <c r="F593" s="3">
        <v>5157</v>
      </c>
      <c r="G593" s="13">
        <f>LN(F593/E593)</f>
        <v>-3.7770689552771572</v>
      </c>
      <c r="H593" s="4">
        <v>15</v>
      </c>
      <c r="I593" s="4">
        <f>((160*(1/10)*H593)+H593*(1/20)*874.5)*2</f>
        <v>1791.75</v>
      </c>
      <c r="J593" s="12">
        <v>8519</v>
      </c>
      <c r="K593" s="12">
        <v>35078</v>
      </c>
      <c r="L593" s="14">
        <f t="shared" si="9"/>
        <v>15</v>
      </c>
    </row>
    <row r="594" spans="1:12" ht="19.5" x14ac:dyDescent="0.4">
      <c r="A594" s="1">
        <v>593</v>
      </c>
      <c r="B594" s="1" t="s">
        <v>32</v>
      </c>
      <c r="C594" s="1">
        <v>2019</v>
      </c>
      <c r="D594" t="s">
        <v>15</v>
      </c>
      <c r="E594" s="3">
        <v>135777</v>
      </c>
      <c r="F594" s="3">
        <v>4776</v>
      </c>
      <c r="G594" s="13">
        <f>LN(F594/E594)</f>
        <v>-3.3474104579743744</v>
      </c>
      <c r="H594" s="4">
        <v>13</v>
      </c>
      <c r="I594" s="4">
        <f>((160*(1/10)*H594)+H594*(1/20)*874.5)*2</f>
        <v>1552.8500000000001</v>
      </c>
      <c r="J594" s="12">
        <v>8295</v>
      </c>
      <c r="K594" s="12">
        <v>50017</v>
      </c>
      <c r="L594" s="14">
        <f t="shared" si="9"/>
        <v>13</v>
      </c>
    </row>
    <row r="595" spans="1:12" ht="19.5" x14ac:dyDescent="0.4">
      <c r="A595" s="1">
        <v>594</v>
      </c>
      <c r="B595" s="1" t="s">
        <v>32</v>
      </c>
      <c r="C595" s="1">
        <v>2019</v>
      </c>
      <c r="D595" t="s">
        <v>16</v>
      </c>
      <c r="E595" s="3">
        <v>217040</v>
      </c>
      <c r="F595" s="3">
        <v>3272</v>
      </c>
      <c r="G595" s="13">
        <f>LN(F595/E595)</f>
        <v>-4.194680249610176</v>
      </c>
      <c r="H595" s="4">
        <v>20.399999999999999</v>
      </c>
      <c r="I595" s="4">
        <f>((160*(1/10)*H595)+H595*(1/20)*874.5)*2</f>
        <v>2436.7799999999997</v>
      </c>
      <c r="J595" s="12">
        <v>16187</v>
      </c>
      <c r="K595" s="12">
        <v>63371</v>
      </c>
      <c r="L595" s="14">
        <f t="shared" si="9"/>
        <v>20.399999999999999</v>
      </c>
    </row>
    <row r="596" spans="1:12" ht="19.5" x14ac:dyDescent="0.4">
      <c r="A596" s="1">
        <v>595</v>
      </c>
      <c r="B596" s="1" t="s">
        <v>32</v>
      </c>
      <c r="C596" s="1">
        <v>2019</v>
      </c>
      <c r="D596" t="s">
        <v>17</v>
      </c>
      <c r="E596" s="3">
        <v>142625</v>
      </c>
      <c r="F596" s="3">
        <v>611</v>
      </c>
      <c r="G596" s="13">
        <f>LN(F596/E596)</f>
        <v>-5.4528771279927817</v>
      </c>
      <c r="H596" s="4">
        <v>38.799999999999997</v>
      </c>
      <c r="I596" s="4">
        <f>((160*(1/10)*H596)+H596*(1/20)*874.5)*2</f>
        <v>4634.66</v>
      </c>
      <c r="J596" s="12">
        <v>10775</v>
      </c>
      <c r="K596" s="12">
        <v>46523</v>
      </c>
      <c r="L596" s="14">
        <f t="shared" si="9"/>
        <v>38.799999999999997</v>
      </c>
    </row>
    <row r="597" spans="1:12" ht="19.5" x14ac:dyDescent="0.4">
      <c r="A597" s="1">
        <v>596</v>
      </c>
      <c r="B597" s="1" t="s">
        <v>32</v>
      </c>
      <c r="C597" s="1">
        <v>2019</v>
      </c>
      <c r="D597" t="s">
        <v>18</v>
      </c>
      <c r="E597" s="3">
        <v>56869</v>
      </c>
      <c r="F597" s="3">
        <v>347</v>
      </c>
      <c r="G597" s="13">
        <f>LN(F597/E597)</f>
        <v>-5.0991808762359607</v>
      </c>
      <c r="H597" s="4">
        <v>38.6</v>
      </c>
      <c r="I597" s="4">
        <f>((160*(1/10)*H597)+H597*(1/20)*874.5)*2</f>
        <v>4610.7700000000004</v>
      </c>
      <c r="J597" s="12">
        <v>4168</v>
      </c>
      <c r="K597" s="12">
        <v>19403</v>
      </c>
      <c r="L597" s="14">
        <f t="shared" si="9"/>
        <v>38.6</v>
      </c>
    </row>
    <row r="598" spans="1:12" ht="19.5" x14ac:dyDescent="0.4">
      <c r="A598" s="1">
        <v>597</v>
      </c>
      <c r="B598" s="1" t="s">
        <v>32</v>
      </c>
      <c r="C598" s="1">
        <v>2019</v>
      </c>
      <c r="D598" t="s">
        <v>19</v>
      </c>
      <c r="E598" s="3">
        <v>121056</v>
      </c>
      <c r="F598" s="3">
        <v>724</v>
      </c>
      <c r="G598" s="13">
        <f>LN(F598/E598)</f>
        <v>-5.1192171350470392</v>
      </c>
      <c r="H598" s="4">
        <v>36.799999999999997</v>
      </c>
      <c r="I598" s="4">
        <f>((160*(1/10)*H598)+H598*(1/20)*874.5)*2</f>
        <v>4395.76</v>
      </c>
      <c r="J598" s="12">
        <v>8520</v>
      </c>
      <c r="K598" s="12">
        <v>38101</v>
      </c>
      <c r="L598" s="14">
        <f t="shared" si="9"/>
        <v>36.799999999999997</v>
      </c>
    </row>
    <row r="599" spans="1:12" ht="19.5" x14ac:dyDescent="0.4">
      <c r="A599" s="5">
        <v>598</v>
      </c>
      <c r="B599" s="5" t="s">
        <v>32</v>
      </c>
      <c r="C599" s="5">
        <v>2019</v>
      </c>
      <c r="D599" s="6" t="s">
        <v>20</v>
      </c>
      <c r="E599" s="7">
        <v>58171</v>
      </c>
      <c r="F599" s="7">
        <v>955</v>
      </c>
      <c r="G599" s="15">
        <f>LN(F599/E599)</f>
        <v>-4.1094308872682337</v>
      </c>
      <c r="H599" s="8">
        <v>35.6</v>
      </c>
      <c r="I599" s="8">
        <f>((160*(1/10)*H599)+H599*(1/20)*874.5)*2</f>
        <v>4252.42</v>
      </c>
      <c r="J599" s="10">
        <v>3816</v>
      </c>
      <c r="K599" s="10">
        <v>19636</v>
      </c>
      <c r="L599" s="16">
        <f t="shared" si="9"/>
        <v>35.6</v>
      </c>
    </row>
    <row r="600" spans="1:12" ht="19.5" x14ac:dyDescent="0.4">
      <c r="A600" s="1">
        <v>599</v>
      </c>
      <c r="B600" s="1" t="s">
        <v>32</v>
      </c>
      <c r="C600" s="1">
        <v>2023</v>
      </c>
      <c r="D600" t="s">
        <v>8</v>
      </c>
      <c r="E600" s="3">
        <v>248680</v>
      </c>
      <c r="F600" s="3">
        <v>2347</v>
      </c>
      <c r="G600" s="13">
        <f>LN(F600/E600)</f>
        <v>-4.6630290125322507</v>
      </c>
      <c r="H600" s="4">
        <v>12.4</v>
      </c>
      <c r="I600" s="4">
        <f>((160*(1/10)*H600)+H600*(1/20)*874.5)*2</f>
        <v>1481.18</v>
      </c>
      <c r="J600" s="12">
        <v>15767</v>
      </c>
      <c r="K600" s="12">
        <v>67093</v>
      </c>
      <c r="L600" s="14">
        <f t="shared" si="9"/>
        <v>12.4</v>
      </c>
    </row>
    <row r="601" spans="1:12" ht="19.5" x14ac:dyDescent="0.4">
      <c r="A601" s="1">
        <v>600</v>
      </c>
      <c r="B601" s="1" t="s">
        <v>32</v>
      </c>
      <c r="C601" s="1">
        <v>2023</v>
      </c>
      <c r="D601" t="s">
        <v>9</v>
      </c>
      <c r="E601" s="3">
        <v>289323</v>
      </c>
      <c r="F601" s="3">
        <v>1398</v>
      </c>
      <c r="G601" s="13">
        <f>LN(F601/E601)</f>
        <v>-5.3325010672571374</v>
      </c>
      <c r="H601" s="4">
        <v>17</v>
      </c>
      <c r="I601" s="4">
        <f>((160*(1/10)*H601)+H601*(1/20)*874.5)*2</f>
        <v>2030.65</v>
      </c>
      <c r="J601" s="12">
        <v>21442</v>
      </c>
      <c r="K601" s="12">
        <v>81653</v>
      </c>
      <c r="L601" s="14">
        <f t="shared" si="9"/>
        <v>17</v>
      </c>
    </row>
    <row r="602" spans="1:12" ht="19.5" x14ac:dyDescent="0.4">
      <c r="A602" s="1">
        <v>601</v>
      </c>
      <c r="B602" s="1" t="s">
        <v>32</v>
      </c>
      <c r="C602" s="1">
        <v>2023</v>
      </c>
      <c r="D602" t="s">
        <v>10</v>
      </c>
      <c r="E602" s="3">
        <v>265379</v>
      </c>
      <c r="F602" s="3">
        <v>3018</v>
      </c>
      <c r="G602" s="13">
        <f>LN(F602/E602)</f>
        <v>-4.4765646325740578</v>
      </c>
      <c r="H602" s="4">
        <v>12.2</v>
      </c>
      <c r="I602" s="4">
        <f>((160*(1/10)*H602)+H602*(1/20)*874.5)*2</f>
        <v>1457.29</v>
      </c>
      <c r="J602" s="12">
        <v>19571</v>
      </c>
      <c r="K602" s="12">
        <v>74654</v>
      </c>
      <c r="L602" s="14">
        <f t="shared" si="9"/>
        <v>12.2</v>
      </c>
    </row>
    <row r="603" spans="1:12" ht="19.5" x14ac:dyDescent="0.4">
      <c r="A603" s="1">
        <v>602</v>
      </c>
      <c r="B603" s="1" t="s">
        <v>32</v>
      </c>
      <c r="C603" s="1">
        <v>2023</v>
      </c>
      <c r="D603" t="s">
        <v>11</v>
      </c>
      <c r="E603" s="3">
        <v>211835</v>
      </c>
      <c r="F603" s="3">
        <v>4864</v>
      </c>
      <c r="G603" s="13">
        <f>LN(F603/E603)</f>
        <v>-3.7739465250871955</v>
      </c>
      <c r="H603" s="4">
        <v>3.4</v>
      </c>
      <c r="I603" s="4">
        <f>((160*(1/10)*H603)+H603*(1/20)*874.5)*2</f>
        <v>406.13000000000005</v>
      </c>
      <c r="J603" s="12">
        <v>15073</v>
      </c>
      <c r="K603" s="12">
        <v>53700</v>
      </c>
      <c r="L603" s="14">
        <f t="shared" si="9"/>
        <v>3.4</v>
      </c>
    </row>
    <row r="604" spans="1:12" ht="19.5" x14ac:dyDescent="0.4">
      <c r="A604" s="1">
        <v>603</v>
      </c>
      <c r="B604" s="1" t="s">
        <v>32</v>
      </c>
      <c r="C604" s="1">
        <v>2023</v>
      </c>
      <c r="D604" t="s">
        <v>12</v>
      </c>
      <c r="E604" s="3">
        <v>125083</v>
      </c>
      <c r="F604" s="3">
        <v>808</v>
      </c>
      <c r="G604" s="13">
        <f>LN(F604/E604)</f>
        <v>-5.0421707374128788</v>
      </c>
      <c r="H604" s="4">
        <v>17.2</v>
      </c>
      <c r="I604" s="4">
        <f>((160*(1/10)*H604)+H604*(1/20)*874.5)*2</f>
        <v>2054.54</v>
      </c>
      <c r="J604" s="12">
        <v>7751</v>
      </c>
      <c r="K604" s="12">
        <v>40932</v>
      </c>
      <c r="L604" s="14">
        <f t="shared" si="9"/>
        <v>17.2</v>
      </c>
    </row>
    <row r="605" spans="1:12" ht="19.5" x14ac:dyDescent="0.4">
      <c r="A605" s="1">
        <v>604</v>
      </c>
      <c r="B605" s="1" t="s">
        <v>32</v>
      </c>
      <c r="C605" s="1">
        <v>2023</v>
      </c>
      <c r="D605" t="s">
        <v>13</v>
      </c>
      <c r="E605" s="3">
        <v>225298</v>
      </c>
      <c r="F605" s="3">
        <v>75881</v>
      </c>
      <c r="G605" s="13">
        <f>LN(F605/E605)</f>
        <v>-1.0882576466627882</v>
      </c>
      <c r="H605" s="4">
        <v>1.2</v>
      </c>
      <c r="I605" s="4">
        <f>((160*(1/10)*H605)+H605*(1/20)*874.5)*2</f>
        <v>143.34</v>
      </c>
      <c r="J605" s="12">
        <v>15548</v>
      </c>
      <c r="K605" s="12">
        <v>59284</v>
      </c>
      <c r="L605" s="14">
        <f t="shared" si="9"/>
        <v>1.2</v>
      </c>
    </row>
    <row r="606" spans="1:12" ht="19.5" x14ac:dyDescent="0.4">
      <c r="A606" s="1">
        <v>605</v>
      </c>
      <c r="B606" s="1" t="s">
        <v>32</v>
      </c>
      <c r="C606" s="1">
        <v>2023</v>
      </c>
      <c r="D606" t="s">
        <v>14</v>
      </c>
      <c r="E606" s="3">
        <v>225298</v>
      </c>
      <c r="F606" s="3">
        <v>2530</v>
      </c>
      <c r="G606" s="13">
        <f>LN(F606/E606)</f>
        <v>-4.4892046676065505</v>
      </c>
      <c r="H606" s="4">
        <v>15</v>
      </c>
      <c r="I606" s="4">
        <f>((160*(1/10)*H606)+H606*(1/20)*874.5)*2</f>
        <v>1791.75</v>
      </c>
      <c r="J606" s="12">
        <v>8519</v>
      </c>
      <c r="K606" s="12">
        <v>35078</v>
      </c>
      <c r="L606" s="14">
        <f t="shared" ref="L606:L669" si="10">H606</f>
        <v>15</v>
      </c>
    </row>
    <row r="607" spans="1:12" ht="19.5" x14ac:dyDescent="0.4">
      <c r="A607" s="1">
        <v>606</v>
      </c>
      <c r="B607" s="1" t="s">
        <v>32</v>
      </c>
      <c r="C607" s="1">
        <v>2023</v>
      </c>
      <c r="D607" t="s">
        <v>15</v>
      </c>
      <c r="E607" s="3">
        <v>135777</v>
      </c>
      <c r="F607" s="3">
        <v>3051</v>
      </c>
      <c r="G607" s="13">
        <f>LN(F607/E607)</f>
        <v>-3.7955444283301429</v>
      </c>
      <c r="H607" s="4">
        <v>13</v>
      </c>
      <c r="I607" s="4">
        <f>((160*(1/10)*H607)+H607*(1/20)*874.5)*2</f>
        <v>1552.8500000000001</v>
      </c>
      <c r="J607" s="12">
        <v>8295</v>
      </c>
      <c r="K607" s="12">
        <v>50017</v>
      </c>
      <c r="L607" s="14">
        <f t="shared" si="10"/>
        <v>13</v>
      </c>
    </row>
    <row r="608" spans="1:12" ht="19.5" x14ac:dyDescent="0.4">
      <c r="A608" s="1">
        <v>607</v>
      </c>
      <c r="B608" s="1" t="s">
        <v>32</v>
      </c>
      <c r="C608" s="1">
        <v>2023</v>
      </c>
      <c r="D608" t="s">
        <v>16</v>
      </c>
      <c r="E608" s="3">
        <v>217040</v>
      </c>
      <c r="F608" s="3">
        <v>1593</v>
      </c>
      <c r="G608" s="13">
        <f>LN(F608/E608)</f>
        <v>-4.9144626374227647</v>
      </c>
      <c r="H608" s="4">
        <v>20.399999999999999</v>
      </c>
      <c r="I608" s="4">
        <f>((160*(1/10)*H608)+H608*(1/20)*874.5)*2</f>
        <v>2436.7799999999997</v>
      </c>
      <c r="J608" s="12">
        <v>16187</v>
      </c>
      <c r="K608" s="12">
        <v>63371</v>
      </c>
      <c r="L608" s="14">
        <f t="shared" si="10"/>
        <v>20.399999999999999</v>
      </c>
    </row>
    <row r="609" spans="1:12" ht="19.5" x14ac:dyDescent="0.4">
      <c r="A609" s="1">
        <v>608</v>
      </c>
      <c r="B609" s="1" t="s">
        <v>32</v>
      </c>
      <c r="C609" s="1">
        <v>2023</v>
      </c>
      <c r="D609" t="s">
        <v>17</v>
      </c>
      <c r="E609" s="3">
        <v>142625</v>
      </c>
      <c r="F609" s="3">
        <v>2786</v>
      </c>
      <c r="G609" s="13">
        <f>LN(F609/E609)</f>
        <v>-3.9356119328246257</v>
      </c>
      <c r="H609" s="4">
        <v>38.799999999999997</v>
      </c>
      <c r="I609" s="4">
        <f>((160*(1/10)*H609)+H609*(1/20)*874.5)*2</f>
        <v>4634.66</v>
      </c>
      <c r="J609" s="12">
        <v>10775</v>
      </c>
      <c r="K609" s="12">
        <v>46523</v>
      </c>
      <c r="L609" s="14">
        <f t="shared" si="10"/>
        <v>38.799999999999997</v>
      </c>
    </row>
    <row r="610" spans="1:12" ht="19.5" x14ac:dyDescent="0.4">
      <c r="A610" s="1">
        <v>609</v>
      </c>
      <c r="B610" s="1" t="s">
        <v>32</v>
      </c>
      <c r="C610" s="1">
        <v>2023</v>
      </c>
      <c r="D610" t="s">
        <v>18</v>
      </c>
      <c r="E610" s="3">
        <v>56869</v>
      </c>
      <c r="F610" s="3">
        <v>190</v>
      </c>
      <c r="G610" s="13">
        <f>LN(F610/E610)</f>
        <v>-5.7014815840223338</v>
      </c>
      <c r="H610" s="4">
        <v>38.6</v>
      </c>
      <c r="I610" s="4">
        <f>((160*(1/10)*H610)+H610*(1/20)*874.5)*2</f>
        <v>4610.7700000000004</v>
      </c>
      <c r="J610" s="12">
        <v>4168</v>
      </c>
      <c r="K610" s="12">
        <v>19403</v>
      </c>
      <c r="L610" s="14">
        <f t="shared" si="10"/>
        <v>38.6</v>
      </c>
    </row>
    <row r="611" spans="1:12" ht="19.5" x14ac:dyDescent="0.4">
      <c r="A611" s="1">
        <v>610</v>
      </c>
      <c r="B611" s="1" t="s">
        <v>32</v>
      </c>
      <c r="C611" s="1">
        <v>2023</v>
      </c>
      <c r="D611" t="s">
        <v>19</v>
      </c>
      <c r="E611" s="3">
        <v>121056</v>
      </c>
      <c r="F611" s="3">
        <v>662</v>
      </c>
      <c r="G611" s="13">
        <f>LN(F611/E611)</f>
        <v>-5.2087429714957478</v>
      </c>
      <c r="H611" s="4">
        <v>36.799999999999997</v>
      </c>
      <c r="I611" s="4">
        <f>((160*(1/10)*H611)+H611*(1/20)*874.5)*2</f>
        <v>4395.76</v>
      </c>
      <c r="J611" s="12">
        <v>8520</v>
      </c>
      <c r="K611" s="12">
        <v>38101</v>
      </c>
      <c r="L611" s="14">
        <f t="shared" si="10"/>
        <v>36.799999999999997</v>
      </c>
    </row>
    <row r="612" spans="1:12" ht="19.5" x14ac:dyDescent="0.4">
      <c r="A612" s="5">
        <v>611</v>
      </c>
      <c r="B612" s="5" t="s">
        <v>32</v>
      </c>
      <c r="C612" s="5">
        <v>2023</v>
      </c>
      <c r="D612" s="6" t="s">
        <v>20</v>
      </c>
      <c r="E612" s="7">
        <v>58171</v>
      </c>
      <c r="F612" s="7">
        <v>466</v>
      </c>
      <c r="G612" s="15">
        <f>LN(F612/E612)</f>
        <v>-4.8269565936233176</v>
      </c>
      <c r="H612" s="8">
        <v>35.6</v>
      </c>
      <c r="I612" s="8">
        <f>((160*(1/10)*H612)+H612*(1/20)*874.5)*2</f>
        <v>4252.42</v>
      </c>
      <c r="J612" s="10">
        <v>3816</v>
      </c>
      <c r="K612" s="10">
        <v>19636</v>
      </c>
      <c r="L612" s="16">
        <f t="shared" si="10"/>
        <v>35.6</v>
      </c>
    </row>
    <row r="613" spans="1:12" ht="19.5" x14ac:dyDescent="0.4">
      <c r="A613" s="1">
        <v>612</v>
      </c>
      <c r="B613" s="1" t="s">
        <v>32</v>
      </c>
      <c r="C613" s="1">
        <v>2024</v>
      </c>
      <c r="D613" t="s">
        <v>8</v>
      </c>
      <c r="E613" s="3">
        <v>248680</v>
      </c>
      <c r="F613" s="3">
        <v>2413</v>
      </c>
      <c r="G613" s="13">
        <f>LN(F613/E613)</f>
        <v>-4.635296142758242</v>
      </c>
      <c r="H613" s="4">
        <v>12.4</v>
      </c>
      <c r="I613" s="4">
        <f>((160*(1/10)*H613)+H613*(1/20)*874.5)*2</f>
        <v>1481.18</v>
      </c>
      <c r="J613" s="12">
        <v>15767</v>
      </c>
      <c r="K613" s="12">
        <v>67093</v>
      </c>
      <c r="L613" s="14">
        <f t="shared" si="10"/>
        <v>12.4</v>
      </c>
    </row>
    <row r="614" spans="1:12" ht="19.5" x14ac:dyDescent="0.4">
      <c r="A614" s="1">
        <v>613</v>
      </c>
      <c r="B614" s="1" t="s">
        <v>32</v>
      </c>
      <c r="C614" s="1">
        <v>2024</v>
      </c>
      <c r="D614" t="s">
        <v>9</v>
      </c>
      <c r="E614" s="3">
        <v>289323</v>
      </c>
      <c r="F614" s="3">
        <v>1849</v>
      </c>
      <c r="G614" s="13">
        <f>LN(F614/E614)</f>
        <v>-5.0528987586637681</v>
      </c>
      <c r="H614" s="4">
        <v>17</v>
      </c>
      <c r="I614" s="4">
        <f>((160*(1/10)*H614)+H614*(1/20)*874.5)*2</f>
        <v>2030.65</v>
      </c>
      <c r="J614" s="12">
        <v>21442</v>
      </c>
      <c r="K614" s="12">
        <v>81653</v>
      </c>
      <c r="L614" s="14">
        <f t="shared" si="10"/>
        <v>17</v>
      </c>
    </row>
    <row r="615" spans="1:12" ht="19.5" x14ac:dyDescent="0.4">
      <c r="A615" s="1">
        <v>614</v>
      </c>
      <c r="B615" s="1" t="s">
        <v>32</v>
      </c>
      <c r="C615" s="1">
        <v>2024</v>
      </c>
      <c r="D615" t="s">
        <v>10</v>
      </c>
      <c r="E615" s="3">
        <v>265379</v>
      </c>
      <c r="F615" s="3">
        <v>2573</v>
      </c>
      <c r="G615" s="13">
        <f>LN(F615/E615)</f>
        <v>-4.6360864596201079</v>
      </c>
      <c r="H615" s="4">
        <v>12.2</v>
      </c>
      <c r="I615" s="4">
        <f>((160*(1/10)*H615)+H615*(1/20)*874.5)*2</f>
        <v>1457.29</v>
      </c>
      <c r="J615" s="12">
        <v>19571</v>
      </c>
      <c r="K615" s="12">
        <v>74654</v>
      </c>
      <c r="L615" s="14">
        <f t="shared" si="10"/>
        <v>12.2</v>
      </c>
    </row>
    <row r="616" spans="1:12" ht="19.5" x14ac:dyDescent="0.4">
      <c r="A616" s="1">
        <v>615</v>
      </c>
      <c r="B616" s="1" t="s">
        <v>32</v>
      </c>
      <c r="C616" s="1">
        <v>2024</v>
      </c>
      <c r="D616" t="s">
        <v>11</v>
      </c>
      <c r="E616" s="3">
        <v>211835</v>
      </c>
      <c r="F616" s="3">
        <v>6562</v>
      </c>
      <c r="G616" s="13">
        <f>LN(F616/E616)</f>
        <v>-3.4745122352121518</v>
      </c>
      <c r="H616" s="4">
        <v>3.4</v>
      </c>
      <c r="I616" s="4">
        <f>((160*(1/10)*H616)+H616*(1/20)*874.5)*2</f>
        <v>406.13000000000005</v>
      </c>
      <c r="J616" s="12">
        <v>15073</v>
      </c>
      <c r="K616" s="12">
        <v>53700</v>
      </c>
      <c r="L616" s="14">
        <f t="shared" si="10"/>
        <v>3.4</v>
      </c>
    </row>
    <row r="617" spans="1:12" ht="19.5" x14ac:dyDescent="0.4">
      <c r="A617" s="1">
        <v>616</v>
      </c>
      <c r="B617" s="1" t="s">
        <v>32</v>
      </c>
      <c r="C617" s="1">
        <v>2024</v>
      </c>
      <c r="D617" t="s">
        <v>12</v>
      </c>
      <c r="E617" s="3">
        <v>125083</v>
      </c>
      <c r="F617" s="3">
        <v>1489</v>
      </c>
      <c r="G617" s="13">
        <f>LN(F617/E617)</f>
        <v>-4.4308727632499654</v>
      </c>
      <c r="H617" s="4">
        <v>17.2</v>
      </c>
      <c r="I617" s="4">
        <f>((160*(1/10)*H617)+H617*(1/20)*874.5)*2</f>
        <v>2054.54</v>
      </c>
      <c r="J617" s="12">
        <v>7751</v>
      </c>
      <c r="K617" s="12">
        <v>40932</v>
      </c>
      <c r="L617" s="14">
        <f t="shared" si="10"/>
        <v>17.2</v>
      </c>
    </row>
    <row r="618" spans="1:12" ht="19.5" x14ac:dyDescent="0.4">
      <c r="A618" s="1">
        <v>617</v>
      </c>
      <c r="B618" s="1" t="s">
        <v>32</v>
      </c>
      <c r="C618" s="1">
        <v>2024</v>
      </c>
      <c r="D618" t="s">
        <v>13</v>
      </c>
      <c r="E618" s="3">
        <v>225298</v>
      </c>
      <c r="F618" s="3">
        <v>60855</v>
      </c>
      <c r="G618" s="13">
        <f>LN(F618/E618)</f>
        <v>-1.3089299850194587</v>
      </c>
      <c r="H618" s="4">
        <v>1.2</v>
      </c>
      <c r="I618" s="4">
        <f>((160*(1/10)*H618)+H618*(1/20)*874.5)*2</f>
        <v>143.34</v>
      </c>
      <c r="J618" s="12">
        <v>15548</v>
      </c>
      <c r="K618" s="12">
        <v>59284</v>
      </c>
      <c r="L618" s="14">
        <f t="shared" si="10"/>
        <v>1.2</v>
      </c>
    </row>
    <row r="619" spans="1:12" ht="19.5" x14ac:dyDescent="0.4">
      <c r="A619" s="1">
        <v>618</v>
      </c>
      <c r="B619" s="1" t="s">
        <v>32</v>
      </c>
      <c r="C619" s="1">
        <v>2024</v>
      </c>
      <c r="D619" t="s">
        <v>14</v>
      </c>
      <c r="E619" s="3">
        <v>225298</v>
      </c>
      <c r="F619" s="3">
        <v>3529</v>
      </c>
      <c r="G619" s="13">
        <f>LN(F619/E619)</f>
        <v>-4.1564094256528463</v>
      </c>
      <c r="H619" s="4">
        <v>15</v>
      </c>
      <c r="I619" s="4">
        <f>((160*(1/10)*H619)+H619*(1/20)*874.5)*2</f>
        <v>1791.75</v>
      </c>
      <c r="J619" s="12">
        <v>8519</v>
      </c>
      <c r="K619" s="12">
        <v>35078</v>
      </c>
      <c r="L619" s="14">
        <f t="shared" si="10"/>
        <v>15</v>
      </c>
    </row>
    <row r="620" spans="1:12" ht="19.5" x14ac:dyDescent="0.4">
      <c r="A620" s="1">
        <v>619</v>
      </c>
      <c r="B620" s="1" t="s">
        <v>32</v>
      </c>
      <c r="C620" s="1">
        <v>2024</v>
      </c>
      <c r="D620" t="s">
        <v>15</v>
      </c>
      <c r="E620" s="3">
        <v>135777</v>
      </c>
      <c r="F620" s="3">
        <v>4546</v>
      </c>
      <c r="G620" s="13">
        <f>LN(F620/E620)</f>
        <v>-3.3967661086343237</v>
      </c>
      <c r="H620" s="4">
        <v>13</v>
      </c>
      <c r="I620" s="4">
        <f>((160*(1/10)*H620)+H620*(1/20)*874.5)*2</f>
        <v>1552.8500000000001</v>
      </c>
      <c r="J620" s="12">
        <v>8295</v>
      </c>
      <c r="K620" s="12">
        <v>50017</v>
      </c>
      <c r="L620" s="14">
        <f t="shared" si="10"/>
        <v>13</v>
      </c>
    </row>
    <row r="621" spans="1:12" ht="19.5" x14ac:dyDescent="0.4">
      <c r="A621" s="1">
        <v>620</v>
      </c>
      <c r="B621" s="1" t="s">
        <v>32</v>
      </c>
      <c r="C621" s="1">
        <v>2024</v>
      </c>
      <c r="D621" t="s">
        <v>16</v>
      </c>
      <c r="E621" s="3">
        <v>217040</v>
      </c>
      <c r="F621" s="3">
        <v>885</v>
      </c>
      <c r="G621" s="13">
        <f>LN(F621/E621)</f>
        <v>-5.5022493023248842</v>
      </c>
      <c r="H621" s="4">
        <v>20.399999999999999</v>
      </c>
      <c r="I621" s="4">
        <f>((160*(1/10)*H621)+H621*(1/20)*874.5)*2</f>
        <v>2436.7799999999997</v>
      </c>
      <c r="J621" s="12">
        <v>16187</v>
      </c>
      <c r="K621" s="12">
        <v>63371</v>
      </c>
      <c r="L621" s="14">
        <f t="shared" si="10"/>
        <v>20.399999999999999</v>
      </c>
    </row>
    <row r="622" spans="1:12" ht="19.5" x14ac:dyDescent="0.4">
      <c r="A622" s="1">
        <v>621</v>
      </c>
      <c r="B622" s="1" t="s">
        <v>32</v>
      </c>
      <c r="C622" s="1">
        <v>2024</v>
      </c>
      <c r="D622" t="s">
        <v>17</v>
      </c>
      <c r="E622" s="3">
        <v>142625</v>
      </c>
      <c r="F622" s="3">
        <v>581</v>
      </c>
      <c r="G622" s="13">
        <f>LN(F622/E622)</f>
        <v>-5.5032233303124656</v>
      </c>
      <c r="H622" s="4">
        <v>38.799999999999997</v>
      </c>
      <c r="I622" s="4">
        <f>((160*(1/10)*H622)+H622*(1/20)*874.5)*2</f>
        <v>4634.66</v>
      </c>
      <c r="J622" s="12">
        <v>10775</v>
      </c>
      <c r="K622" s="12">
        <v>46523</v>
      </c>
      <c r="L622" s="14">
        <f t="shared" si="10"/>
        <v>38.799999999999997</v>
      </c>
    </row>
    <row r="623" spans="1:12" ht="19.5" x14ac:dyDescent="0.4">
      <c r="A623" s="1">
        <v>622</v>
      </c>
      <c r="B623" s="1" t="s">
        <v>32</v>
      </c>
      <c r="C623" s="1">
        <v>2024</v>
      </c>
      <c r="D623" t="s">
        <v>18</v>
      </c>
      <c r="E623" s="3">
        <v>56869</v>
      </c>
      <c r="F623" s="3">
        <v>190</v>
      </c>
      <c r="G623" s="13">
        <f>LN(F623/E623)</f>
        <v>-5.7014815840223338</v>
      </c>
      <c r="H623" s="4">
        <v>38.6</v>
      </c>
      <c r="I623" s="4">
        <f>((160*(1/10)*H623)+H623*(1/20)*874.5)*2</f>
        <v>4610.7700000000004</v>
      </c>
      <c r="J623" s="12">
        <v>4168</v>
      </c>
      <c r="K623" s="12">
        <v>19403</v>
      </c>
      <c r="L623" s="14">
        <f t="shared" si="10"/>
        <v>38.6</v>
      </c>
    </row>
    <row r="624" spans="1:12" ht="19.5" x14ac:dyDescent="0.4">
      <c r="A624" s="1">
        <v>623</v>
      </c>
      <c r="B624" s="1" t="s">
        <v>32</v>
      </c>
      <c r="C624" s="1">
        <v>2024</v>
      </c>
      <c r="D624" t="s">
        <v>19</v>
      </c>
      <c r="E624" s="3">
        <v>121056</v>
      </c>
      <c r="F624" s="3">
        <v>252</v>
      </c>
      <c r="G624" s="13">
        <f>LN(F624/E624)</f>
        <v>-6.1745794399213327</v>
      </c>
      <c r="H624" s="4">
        <v>36.799999999999997</v>
      </c>
      <c r="I624" s="4">
        <f>((160*(1/10)*H624)+H624*(1/20)*874.5)*2</f>
        <v>4395.76</v>
      </c>
      <c r="J624" s="12">
        <v>8520</v>
      </c>
      <c r="K624" s="12">
        <v>38101</v>
      </c>
      <c r="L624" s="14">
        <f t="shared" si="10"/>
        <v>36.799999999999997</v>
      </c>
    </row>
    <row r="625" spans="1:12" ht="19.5" x14ac:dyDescent="0.4">
      <c r="A625" s="5">
        <v>624</v>
      </c>
      <c r="B625" s="5" t="s">
        <v>32</v>
      </c>
      <c r="C625" s="5">
        <v>2024</v>
      </c>
      <c r="D625" s="6" t="s">
        <v>20</v>
      </c>
      <c r="E625" s="7">
        <v>58171</v>
      </c>
      <c r="F625" s="7">
        <v>691</v>
      </c>
      <c r="G625" s="15">
        <f>LN(F625/E625)</f>
        <v>-4.4330024039812939</v>
      </c>
      <c r="H625" s="8">
        <v>35.6</v>
      </c>
      <c r="I625" s="8">
        <f>((160*(1/10)*H625)+H625*(1/20)*874.5)*2</f>
        <v>4252.42</v>
      </c>
      <c r="J625" s="10">
        <v>3816</v>
      </c>
      <c r="K625" s="10">
        <v>19636</v>
      </c>
      <c r="L625" s="16">
        <f t="shared" si="10"/>
        <v>35.6</v>
      </c>
    </row>
    <row r="626" spans="1:12" ht="19.5" x14ac:dyDescent="0.4">
      <c r="A626" s="1">
        <v>625</v>
      </c>
      <c r="B626" s="1" t="s">
        <v>33</v>
      </c>
      <c r="C626" s="1">
        <v>2018</v>
      </c>
      <c r="D626" t="s">
        <v>8</v>
      </c>
      <c r="E626" s="3">
        <v>248680</v>
      </c>
      <c r="F626" s="3">
        <v>2965</v>
      </c>
      <c r="G626" s="13">
        <f>LN(F626/E626)</f>
        <v>-4.429289896951448</v>
      </c>
      <c r="H626" s="4">
        <v>20.8</v>
      </c>
      <c r="I626" s="4">
        <f>((160*(1/10)*H626)+H626*(1/20)*874.5)*2</f>
        <v>2484.56</v>
      </c>
      <c r="J626" s="12">
        <v>15767</v>
      </c>
      <c r="K626" s="12">
        <v>67093</v>
      </c>
      <c r="L626" s="14">
        <f t="shared" si="10"/>
        <v>20.8</v>
      </c>
    </row>
    <row r="627" spans="1:12" ht="19.5" x14ac:dyDescent="0.4">
      <c r="A627" s="1">
        <v>626</v>
      </c>
      <c r="B627" s="1" t="s">
        <v>33</v>
      </c>
      <c r="C627" s="1">
        <v>2018</v>
      </c>
      <c r="D627" t="s">
        <v>9</v>
      </c>
      <c r="E627" s="3">
        <v>289323</v>
      </c>
      <c r="F627" s="3">
        <v>40270</v>
      </c>
      <c r="G627" s="13">
        <f>LN(F627/E627)</f>
        <v>-1.9719369362053931</v>
      </c>
      <c r="H627" s="4">
        <v>11.6</v>
      </c>
      <c r="I627" s="4">
        <f>((160*(1/10)*H627)+H627*(1/20)*874.5)*2</f>
        <v>1385.62</v>
      </c>
      <c r="J627" s="12">
        <v>21442</v>
      </c>
      <c r="K627" s="12">
        <v>81653</v>
      </c>
      <c r="L627" s="14">
        <f t="shared" si="10"/>
        <v>11.6</v>
      </c>
    </row>
    <row r="628" spans="1:12" ht="19.5" x14ac:dyDescent="0.4">
      <c r="A628" s="1">
        <v>627</v>
      </c>
      <c r="B628" s="1" t="s">
        <v>33</v>
      </c>
      <c r="C628" s="1">
        <v>2018</v>
      </c>
      <c r="D628" t="s">
        <v>10</v>
      </c>
      <c r="E628" s="3">
        <v>265379</v>
      </c>
      <c r="F628" s="3">
        <v>27298</v>
      </c>
      <c r="G628" s="13">
        <f>LN(F628/E628)</f>
        <v>-2.2743455534857113</v>
      </c>
      <c r="H628" s="4">
        <v>12.8</v>
      </c>
      <c r="I628" s="4">
        <f>((160*(1/10)*H628)+H628*(1/20)*874.5)*2</f>
        <v>1528.96</v>
      </c>
      <c r="J628" s="12">
        <v>19571</v>
      </c>
      <c r="K628" s="12">
        <v>74654</v>
      </c>
      <c r="L628" s="14">
        <f t="shared" si="10"/>
        <v>12.8</v>
      </c>
    </row>
    <row r="629" spans="1:12" ht="19.5" x14ac:dyDescent="0.4">
      <c r="A629" s="1">
        <v>628</v>
      </c>
      <c r="B629" s="1" t="s">
        <v>33</v>
      </c>
      <c r="C629" s="1">
        <v>2018</v>
      </c>
      <c r="D629" t="s">
        <v>11</v>
      </c>
      <c r="E629" s="3">
        <v>211835</v>
      </c>
      <c r="F629" s="3">
        <v>4265</v>
      </c>
      <c r="G629" s="13">
        <f>LN(F629/E629)</f>
        <v>-3.9053654888074192</v>
      </c>
      <c r="H629" s="4">
        <v>25.4</v>
      </c>
      <c r="I629" s="4">
        <f>((160*(1/10)*H629)+H629*(1/20)*874.5)*2</f>
        <v>3034.0299999999997</v>
      </c>
      <c r="J629" s="12">
        <v>15073</v>
      </c>
      <c r="K629" s="12">
        <v>53700</v>
      </c>
      <c r="L629" s="14">
        <f t="shared" si="10"/>
        <v>25.4</v>
      </c>
    </row>
    <row r="630" spans="1:12" ht="19.5" x14ac:dyDescent="0.4">
      <c r="A630" s="1">
        <v>629</v>
      </c>
      <c r="B630" s="1" t="s">
        <v>33</v>
      </c>
      <c r="C630" s="1">
        <v>2018</v>
      </c>
      <c r="D630" t="s">
        <v>12</v>
      </c>
      <c r="E630" s="3">
        <v>125083</v>
      </c>
      <c r="F630" s="3">
        <v>1607</v>
      </c>
      <c r="G630" s="13">
        <f>LN(F630/E630)</f>
        <v>-4.3546084301964623</v>
      </c>
      <c r="H630" s="4">
        <v>33.6</v>
      </c>
      <c r="I630" s="4">
        <f>((160*(1/10)*H630)+H630*(1/20)*874.5)*2</f>
        <v>4013.5200000000004</v>
      </c>
      <c r="J630" s="12">
        <v>7751</v>
      </c>
      <c r="K630" s="12">
        <v>40932</v>
      </c>
      <c r="L630" s="14">
        <f t="shared" si="10"/>
        <v>33.6</v>
      </c>
    </row>
    <row r="631" spans="1:12" ht="19.5" x14ac:dyDescent="0.4">
      <c r="A631" s="1">
        <v>630</v>
      </c>
      <c r="B631" s="1" t="s">
        <v>33</v>
      </c>
      <c r="C631" s="1">
        <v>2018</v>
      </c>
      <c r="D631" t="s">
        <v>13</v>
      </c>
      <c r="E631" s="3">
        <v>225298</v>
      </c>
      <c r="F631" s="3">
        <v>1673</v>
      </c>
      <c r="G631" s="13">
        <f>LN(F631/E631)</f>
        <v>-4.9028055483412922</v>
      </c>
      <c r="H631" s="4">
        <v>25.6</v>
      </c>
      <c r="I631" s="4">
        <f>((160*(1/10)*H631)+H631*(1/20)*874.5)*2</f>
        <v>3057.92</v>
      </c>
      <c r="J631" s="12">
        <v>15548</v>
      </c>
      <c r="K631" s="12">
        <v>59284</v>
      </c>
      <c r="L631" s="14">
        <f t="shared" si="10"/>
        <v>25.6</v>
      </c>
    </row>
    <row r="632" spans="1:12" ht="19.5" x14ac:dyDescent="0.4">
      <c r="A632" s="1">
        <v>631</v>
      </c>
      <c r="B632" s="1" t="s">
        <v>33</v>
      </c>
      <c r="C632" s="1">
        <v>2018</v>
      </c>
      <c r="D632" t="s">
        <v>14</v>
      </c>
      <c r="E632" s="3">
        <v>225298</v>
      </c>
      <c r="F632" s="3">
        <v>574</v>
      </c>
      <c r="G632" s="13">
        <f>LN(F632/E632)</f>
        <v>-5.9725498530085499</v>
      </c>
      <c r="H632" s="4">
        <v>37.6</v>
      </c>
      <c r="I632" s="4">
        <f>((160*(1/10)*H632)+H632*(1/20)*874.5)*2</f>
        <v>4491.3200000000006</v>
      </c>
      <c r="J632" s="12">
        <v>8519</v>
      </c>
      <c r="K632" s="12">
        <v>35078</v>
      </c>
      <c r="L632" s="14">
        <f t="shared" si="10"/>
        <v>37.6</v>
      </c>
    </row>
    <row r="633" spans="1:12" ht="19.5" x14ac:dyDescent="0.4">
      <c r="A633" s="1">
        <v>632</v>
      </c>
      <c r="B633" s="1" t="s">
        <v>33</v>
      </c>
      <c r="C633" s="1">
        <v>2018</v>
      </c>
      <c r="D633" t="s">
        <v>15</v>
      </c>
      <c r="E633" s="3">
        <v>135777</v>
      </c>
      <c r="F633" s="3">
        <v>848</v>
      </c>
      <c r="G633" s="13">
        <f>LN(F633/E633)</f>
        <v>-5.0758884772549093</v>
      </c>
      <c r="H633" s="4">
        <v>34.799999999999997</v>
      </c>
      <c r="I633" s="4">
        <f>((160*(1/10)*H633)+H633*(1/20)*874.5)*2</f>
        <v>4156.8599999999997</v>
      </c>
      <c r="J633" s="12">
        <v>8295</v>
      </c>
      <c r="K633" s="12">
        <v>50017</v>
      </c>
      <c r="L633" s="14">
        <f t="shared" si="10"/>
        <v>34.799999999999997</v>
      </c>
    </row>
    <row r="634" spans="1:12" ht="19.5" x14ac:dyDescent="0.4">
      <c r="A634" s="1">
        <v>633</v>
      </c>
      <c r="B634" s="1" t="s">
        <v>33</v>
      </c>
      <c r="C634" s="1">
        <v>2018</v>
      </c>
      <c r="D634" t="s">
        <v>16</v>
      </c>
      <c r="E634" s="3">
        <v>217040</v>
      </c>
      <c r="F634" s="3">
        <v>3676</v>
      </c>
      <c r="G634" s="13">
        <f>LN(F634/E634)</f>
        <v>-4.0782564638572358</v>
      </c>
      <c r="H634" s="4">
        <v>16.8</v>
      </c>
      <c r="I634" s="4">
        <f>((160*(1/10)*H634)+H634*(1/20)*874.5)*2</f>
        <v>2006.7600000000002</v>
      </c>
      <c r="J634" s="12">
        <v>16187</v>
      </c>
      <c r="K634" s="12">
        <v>63371</v>
      </c>
      <c r="L634" s="14">
        <f t="shared" si="10"/>
        <v>16.8</v>
      </c>
    </row>
    <row r="635" spans="1:12" ht="19.5" x14ac:dyDescent="0.4">
      <c r="A635" s="1">
        <v>634</v>
      </c>
      <c r="B635" s="1" t="s">
        <v>33</v>
      </c>
      <c r="C635" s="1">
        <v>2018</v>
      </c>
      <c r="D635" t="s">
        <v>17</v>
      </c>
      <c r="E635" s="3">
        <v>142625</v>
      </c>
      <c r="F635" s="3">
        <v>2388</v>
      </c>
      <c r="G635" s="13">
        <f>LN(F635/E635)</f>
        <v>-4.0897626126518842</v>
      </c>
      <c r="H635" s="4">
        <v>24.4</v>
      </c>
      <c r="I635" s="4">
        <f>((160*(1/10)*H635)+H635*(1/20)*874.5)*2</f>
        <v>2914.58</v>
      </c>
      <c r="J635" s="12">
        <v>10775</v>
      </c>
      <c r="K635" s="12">
        <v>46523</v>
      </c>
      <c r="L635" s="14">
        <f t="shared" si="10"/>
        <v>24.4</v>
      </c>
    </row>
    <row r="636" spans="1:12" ht="19.5" x14ac:dyDescent="0.4">
      <c r="A636" s="1">
        <v>635</v>
      </c>
      <c r="B636" s="1" t="s">
        <v>33</v>
      </c>
      <c r="C636" s="1">
        <v>2018</v>
      </c>
      <c r="D636" t="s">
        <v>18</v>
      </c>
      <c r="E636" s="3">
        <v>56869</v>
      </c>
      <c r="F636" s="3">
        <v>1693</v>
      </c>
      <c r="G636" s="13">
        <f>LN(F636/E636)</f>
        <v>-3.514248274049685</v>
      </c>
      <c r="H636" s="4">
        <v>15.8</v>
      </c>
      <c r="I636" s="4">
        <f>((160*(1/10)*H636)+H636*(1/20)*874.5)*2</f>
        <v>1887.31</v>
      </c>
      <c r="J636" s="12">
        <v>4168</v>
      </c>
      <c r="K636" s="12">
        <v>19403</v>
      </c>
      <c r="L636" s="14">
        <f t="shared" si="10"/>
        <v>15.8</v>
      </c>
    </row>
    <row r="637" spans="1:12" ht="19.5" x14ac:dyDescent="0.4">
      <c r="A637" s="1">
        <v>636</v>
      </c>
      <c r="B637" s="1" t="s">
        <v>33</v>
      </c>
      <c r="C637" s="1">
        <v>2018</v>
      </c>
      <c r="D637" t="s">
        <v>19</v>
      </c>
      <c r="E637" s="3">
        <v>121056</v>
      </c>
      <c r="F637" s="3">
        <v>1575</v>
      </c>
      <c r="G637" s="13">
        <f>LN(F637/E637)</f>
        <v>-4.3419979761730225</v>
      </c>
      <c r="H637" s="4">
        <v>38.6</v>
      </c>
      <c r="I637" s="4">
        <f>((160*(1/10)*H637)+H637*(1/20)*874.5)*2</f>
        <v>4610.7700000000004</v>
      </c>
      <c r="J637" s="12">
        <v>8520</v>
      </c>
      <c r="K637" s="12">
        <v>38101</v>
      </c>
      <c r="L637" s="14">
        <f t="shared" si="10"/>
        <v>38.6</v>
      </c>
    </row>
    <row r="638" spans="1:12" ht="19.5" x14ac:dyDescent="0.4">
      <c r="A638" s="5">
        <v>637</v>
      </c>
      <c r="B638" s="5" t="s">
        <v>33</v>
      </c>
      <c r="C638" s="5">
        <v>2018</v>
      </c>
      <c r="D638" s="6" t="s">
        <v>20</v>
      </c>
      <c r="E638" s="7">
        <v>58171</v>
      </c>
      <c r="F638" s="7">
        <v>489</v>
      </c>
      <c r="G638" s="15">
        <f>LN(F638/E638)</f>
        <v>-4.7787797382740917</v>
      </c>
      <c r="H638" s="8">
        <v>33.799999999999997</v>
      </c>
      <c r="I638" s="8">
        <f>((160*(1/10)*H638)+H638*(1/20)*874.5)*2</f>
        <v>4037.41</v>
      </c>
      <c r="J638" s="10">
        <v>3816</v>
      </c>
      <c r="K638" s="10">
        <v>19636</v>
      </c>
      <c r="L638" s="16">
        <f t="shared" si="10"/>
        <v>33.799999999999997</v>
      </c>
    </row>
    <row r="639" spans="1:12" ht="19.5" x14ac:dyDescent="0.4">
      <c r="A639" s="1">
        <v>638</v>
      </c>
      <c r="B639" s="1" t="s">
        <v>33</v>
      </c>
      <c r="C639" s="1">
        <v>2019</v>
      </c>
      <c r="D639" t="s">
        <v>8</v>
      </c>
      <c r="E639" s="3">
        <v>248680</v>
      </c>
      <c r="F639" s="3">
        <v>3262</v>
      </c>
      <c r="G639" s="13">
        <f>LN(F639/E639)</f>
        <v>-4.3338264252023144</v>
      </c>
      <c r="H639" s="4">
        <v>20.8</v>
      </c>
      <c r="I639" s="4">
        <f>((160*(1/10)*H639)+H639*(1/20)*874.5)*2</f>
        <v>2484.56</v>
      </c>
      <c r="J639" s="12">
        <v>15767</v>
      </c>
      <c r="K639" s="12">
        <v>67093</v>
      </c>
      <c r="L639" s="14">
        <f t="shared" si="10"/>
        <v>20.8</v>
      </c>
    </row>
    <row r="640" spans="1:12" ht="19.5" x14ac:dyDescent="0.4">
      <c r="A640" s="1">
        <v>639</v>
      </c>
      <c r="B640" s="1" t="s">
        <v>33</v>
      </c>
      <c r="C640" s="1">
        <v>2019</v>
      </c>
      <c r="D640" t="s">
        <v>9</v>
      </c>
      <c r="E640" s="3">
        <v>289323</v>
      </c>
      <c r="F640" s="3">
        <v>78208</v>
      </c>
      <c r="G640" s="13">
        <f>LN(F640/E640)</f>
        <v>-1.3081717669596804</v>
      </c>
      <c r="H640" s="4">
        <v>11.6</v>
      </c>
      <c r="I640" s="4">
        <f>((160*(1/10)*H640)+H640*(1/20)*874.5)*2</f>
        <v>1385.62</v>
      </c>
      <c r="J640" s="12">
        <v>21442</v>
      </c>
      <c r="K640" s="12">
        <v>81653</v>
      </c>
      <c r="L640" s="14">
        <f t="shared" si="10"/>
        <v>11.6</v>
      </c>
    </row>
    <row r="641" spans="1:12" ht="19.5" x14ac:dyDescent="0.4">
      <c r="A641" s="1">
        <v>640</v>
      </c>
      <c r="B641" s="1" t="s">
        <v>33</v>
      </c>
      <c r="C641" s="1">
        <v>2019</v>
      </c>
      <c r="D641" t="s">
        <v>10</v>
      </c>
      <c r="E641" s="3">
        <v>265379</v>
      </c>
      <c r="F641" s="3">
        <v>26153</v>
      </c>
      <c r="G641" s="13">
        <f>LN(F641/E641)</f>
        <v>-2.3171950862355892</v>
      </c>
      <c r="H641" s="4">
        <v>12.8</v>
      </c>
      <c r="I641" s="4">
        <f>((160*(1/10)*H641)+H641*(1/20)*874.5)*2</f>
        <v>1528.96</v>
      </c>
      <c r="J641" s="12">
        <v>19571</v>
      </c>
      <c r="K641" s="12">
        <v>74654</v>
      </c>
      <c r="L641" s="14">
        <f t="shared" si="10"/>
        <v>12.8</v>
      </c>
    </row>
    <row r="642" spans="1:12" ht="19.5" x14ac:dyDescent="0.4">
      <c r="A642" s="1">
        <v>641</v>
      </c>
      <c r="B642" s="1" t="s">
        <v>33</v>
      </c>
      <c r="C642" s="1">
        <v>2019</v>
      </c>
      <c r="D642" t="s">
        <v>11</v>
      </c>
      <c r="E642" s="3">
        <v>211835</v>
      </c>
      <c r="F642" s="3">
        <v>6496</v>
      </c>
      <c r="G642" s="13">
        <f>LN(F642/E642)</f>
        <v>-3.4846210668916848</v>
      </c>
      <c r="H642" s="4">
        <v>25.4</v>
      </c>
      <c r="I642" s="4">
        <f>((160*(1/10)*H642)+H642*(1/20)*874.5)*2</f>
        <v>3034.0299999999997</v>
      </c>
      <c r="J642" s="12">
        <v>15073</v>
      </c>
      <c r="K642" s="12">
        <v>53700</v>
      </c>
      <c r="L642" s="14">
        <f t="shared" si="10"/>
        <v>25.4</v>
      </c>
    </row>
    <row r="643" spans="1:12" ht="19.5" x14ac:dyDescent="0.4">
      <c r="A643" s="1">
        <v>642</v>
      </c>
      <c r="B643" s="1" t="s">
        <v>33</v>
      </c>
      <c r="C643" s="1">
        <v>2019</v>
      </c>
      <c r="D643" t="s">
        <v>12</v>
      </c>
      <c r="E643" s="3">
        <v>125083</v>
      </c>
      <c r="F643" s="3">
        <v>2202</v>
      </c>
      <c r="G643" s="13">
        <f>LN(F643/E643)</f>
        <v>-4.0396114786513495</v>
      </c>
      <c r="H643" s="4">
        <v>33.6</v>
      </c>
      <c r="I643" s="4">
        <f>((160*(1/10)*H643)+H643*(1/20)*874.5)*2</f>
        <v>4013.5200000000004</v>
      </c>
      <c r="J643" s="12">
        <v>7751</v>
      </c>
      <c r="K643" s="12">
        <v>40932</v>
      </c>
      <c r="L643" s="14">
        <f t="shared" si="10"/>
        <v>33.6</v>
      </c>
    </row>
    <row r="644" spans="1:12" ht="19.5" x14ac:dyDescent="0.4">
      <c r="A644" s="1">
        <v>643</v>
      </c>
      <c r="B644" s="1" t="s">
        <v>33</v>
      </c>
      <c r="C644" s="1">
        <v>2019</v>
      </c>
      <c r="D644" t="s">
        <v>13</v>
      </c>
      <c r="E644" s="3">
        <v>225298</v>
      </c>
      <c r="F644" s="3">
        <v>2430</v>
      </c>
      <c r="G644" s="13">
        <f>LN(F644/E644)</f>
        <v>-4.5295327129935217</v>
      </c>
      <c r="H644" s="4">
        <v>25.6</v>
      </c>
      <c r="I644" s="4">
        <f>((160*(1/10)*H644)+H644*(1/20)*874.5)*2</f>
        <v>3057.92</v>
      </c>
      <c r="J644" s="12">
        <v>15548</v>
      </c>
      <c r="K644" s="12">
        <v>59284</v>
      </c>
      <c r="L644" s="14">
        <f t="shared" si="10"/>
        <v>25.6</v>
      </c>
    </row>
    <row r="645" spans="1:12" ht="19.5" x14ac:dyDescent="0.4">
      <c r="A645" s="1">
        <v>644</v>
      </c>
      <c r="B645" s="1" t="s">
        <v>33</v>
      </c>
      <c r="C645" s="1">
        <v>2019</v>
      </c>
      <c r="D645" t="s">
        <v>14</v>
      </c>
      <c r="E645" s="3">
        <v>225298</v>
      </c>
      <c r="F645" s="3">
        <v>1816</v>
      </c>
      <c r="G645" s="13">
        <f>LN(F645/E645)</f>
        <v>-4.8207876901668776</v>
      </c>
      <c r="H645" s="4">
        <v>37.6</v>
      </c>
      <c r="I645" s="4">
        <f>((160*(1/10)*H645)+H645*(1/20)*874.5)*2</f>
        <v>4491.3200000000006</v>
      </c>
      <c r="J645" s="12">
        <v>8519</v>
      </c>
      <c r="K645" s="12">
        <v>35078</v>
      </c>
      <c r="L645" s="14">
        <f t="shared" si="10"/>
        <v>37.6</v>
      </c>
    </row>
    <row r="646" spans="1:12" ht="19.5" x14ac:dyDescent="0.4">
      <c r="A646" s="1">
        <v>645</v>
      </c>
      <c r="B646" s="1" t="s">
        <v>33</v>
      </c>
      <c r="C646" s="1">
        <v>2019</v>
      </c>
      <c r="D646" t="s">
        <v>15</v>
      </c>
      <c r="E646" s="3">
        <v>135777</v>
      </c>
      <c r="F646" s="3">
        <v>3092</v>
      </c>
      <c r="G646" s="13">
        <f>LN(F646/E646)</f>
        <v>-3.7821957033394997</v>
      </c>
      <c r="H646" s="4">
        <v>34.799999999999997</v>
      </c>
      <c r="I646" s="4">
        <f>((160*(1/10)*H646)+H646*(1/20)*874.5)*2</f>
        <v>4156.8599999999997</v>
      </c>
      <c r="J646" s="12">
        <v>8295</v>
      </c>
      <c r="K646" s="12">
        <v>50017</v>
      </c>
      <c r="L646" s="14">
        <f t="shared" si="10"/>
        <v>34.799999999999997</v>
      </c>
    </row>
    <row r="647" spans="1:12" ht="19.5" x14ac:dyDescent="0.4">
      <c r="A647" s="1">
        <v>646</v>
      </c>
      <c r="B647" s="1" t="s">
        <v>33</v>
      </c>
      <c r="C647" s="1">
        <v>2019</v>
      </c>
      <c r="D647" t="s">
        <v>16</v>
      </c>
      <c r="E647" s="3">
        <v>217040</v>
      </c>
      <c r="F647" s="3">
        <v>6233</v>
      </c>
      <c r="G647" s="13">
        <f>LN(F647/E647)</f>
        <v>-3.5502239105239628</v>
      </c>
      <c r="H647" s="4">
        <v>16.8</v>
      </c>
      <c r="I647" s="4">
        <f>((160*(1/10)*H647)+H647*(1/20)*874.5)*2</f>
        <v>2006.7600000000002</v>
      </c>
      <c r="J647" s="12">
        <v>16187</v>
      </c>
      <c r="K647" s="12">
        <v>63371</v>
      </c>
      <c r="L647" s="14">
        <f t="shared" si="10"/>
        <v>16.8</v>
      </c>
    </row>
    <row r="648" spans="1:12" ht="19.5" x14ac:dyDescent="0.4">
      <c r="A648" s="1">
        <v>647</v>
      </c>
      <c r="B648" s="1" t="s">
        <v>33</v>
      </c>
      <c r="C648" s="1">
        <v>2019</v>
      </c>
      <c r="D648" t="s">
        <v>17</v>
      </c>
      <c r="E648" s="3">
        <v>142625</v>
      </c>
      <c r="F648" s="3">
        <v>3115</v>
      </c>
      <c r="G648" s="13">
        <f>LN(F648/E648)</f>
        <v>-3.8239896559428233</v>
      </c>
      <c r="H648" s="4">
        <v>24.4</v>
      </c>
      <c r="I648" s="4">
        <f>((160*(1/10)*H648)+H648*(1/20)*874.5)*2</f>
        <v>2914.58</v>
      </c>
      <c r="J648" s="12">
        <v>10775</v>
      </c>
      <c r="K648" s="12">
        <v>46523</v>
      </c>
      <c r="L648" s="14">
        <f t="shared" si="10"/>
        <v>24.4</v>
      </c>
    </row>
    <row r="649" spans="1:12" ht="19.5" x14ac:dyDescent="0.4">
      <c r="A649" s="1">
        <v>648</v>
      </c>
      <c r="B649" s="1" t="s">
        <v>33</v>
      </c>
      <c r="C649" s="1">
        <v>2019</v>
      </c>
      <c r="D649" t="s">
        <v>18</v>
      </c>
      <c r="E649" s="3">
        <v>56869</v>
      </c>
      <c r="F649" s="3">
        <v>2892</v>
      </c>
      <c r="G649" s="13">
        <f>LN(F649/E649)</f>
        <v>-2.9788020729041649</v>
      </c>
      <c r="H649" s="4">
        <v>15.8</v>
      </c>
      <c r="I649" s="4">
        <f>((160*(1/10)*H649)+H649*(1/20)*874.5)*2</f>
        <v>1887.31</v>
      </c>
      <c r="J649" s="12">
        <v>4168</v>
      </c>
      <c r="K649" s="12">
        <v>19403</v>
      </c>
      <c r="L649" s="14">
        <f t="shared" si="10"/>
        <v>15.8</v>
      </c>
    </row>
    <row r="650" spans="1:12" ht="19.5" x14ac:dyDescent="0.4">
      <c r="A650" s="1">
        <v>649</v>
      </c>
      <c r="B650" s="1" t="s">
        <v>33</v>
      </c>
      <c r="C650" s="1">
        <v>2019</v>
      </c>
      <c r="D650" t="s">
        <v>19</v>
      </c>
      <c r="E650" s="3">
        <v>121056</v>
      </c>
      <c r="F650" s="3">
        <v>1699</v>
      </c>
      <c r="G650" s="13">
        <f>LN(F650/E650)</f>
        <v>-4.2662134057608236</v>
      </c>
      <c r="H650" s="4">
        <v>38.6</v>
      </c>
      <c r="I650" s="4">
        <f>((160*(1/10)*H650)+H650*(1/20)*874.5)*2</f>
        <v>4610.7700000000004</v>
      </c>
      <c r="J650" s="12">
        <v>8520</v>
      </c>
      <c r="K650" s="12">
        <v>38101</v>
      </c>
      <c r="L650" s="14">
        <f t="shared" si="10"/>
        <v>38.6</v>
      </c>
    </row>
    <row r="651" spans="1:12" ht="19.5" x14ac:dyDescent="0.4">
      <c r="A651" s="5">
        <v>650</v>
      </c>
      <c r="B651" s="5" t="s">
        <v>33</v>
      </c>
      <c r="C651" s="5">
        <v>2019</v>
      </c>
      <c r="D651" s="6" t="s">
        <v>20</v>
      </c>
      <c r="E651" s="7">
        <v>58171</v>
      </c>
      <c r="F651" s="7">
        <v>389</v>
      </c>
      <c r="G651" s="15">
        <f>LN(F651/E651)</f>
        <v>-5.0075628841305173</v>
      </c>
      <c r="H651" s="8">
        <v>33.799999999999997</v>
      </c>
      <c r="I651" s="8">
        <f>((160*(1/10)*H651)+H651*(1/20)*874.5)*2</f>
        <v>4037.41</v>
      </c>
      <c r="J651" s="10">
        <v>3816</v>
      </c>
      <c r="K651" s="10">
        <v>19636</v>
      </c>
      <c r="L651" s="16">
        <f t="shared" si="10"/>
        <v>33.799999999999997</v>
      </c>
    </row>
    <row r="652" spans="1:12" ht="19.5" x14ac:dyDescent="0.4">
      <c r="A652" s="1">
        <v>651</v>
      </c>
      <c r="B652" s="1" t="s">
        <v>33</v>
      </c>
      <c r="C652" s="1">
        <v>2023</v>
      </c>
      <c r="D652" t="s">
        <v>8</v>
      </c>
      <c r="E652" s="3">
        <v>248680</v>
      </c>
      <c r="F652" s="3">
        <v>2958</v>
      </c>
      <c r="G652" s="13">
        <f>LN(F652/E652)</f>
        <v>-4.4316535651125291</v>
      </c>
      <c r="H652" s="4">
        <v>20.8</v>
      </c>
      <c r="I652" s="4">
        <f>((160*(1/10)*H652)+H652*(1/20)*874.5)*2</f>
        <v>2484.56</v>
      </c>
      <c r="J652" s="12">
        <v>15767</v>
      </c>
      <c r="K652" s="12">
        <v>67093</v>
      </c>
      <c r="L652" s="14">
        <f t="shared" si="10"/>
        <v>20.8</v>
      </c>
    </row>
    <row r="653" spans="1:12" ht="19.5" x14ac:dyDescent="0.4">
      <c r="A653" s="1">
        <v>652</v>
      </c>
      <c r="B653" s="1" t="s">
        <v>33</v>
      </c>
      <c r="C653" s="1">
        <v>2023</v>
      </c>
      <c r="D653" t="s">
        <v>9</v>
      </c>
      <c r="E653" s="3">
        <v>289323</v>
      </c>
      <c r="F653" s="3">
        <v>35740</v>
      </c>
      <c r="G653" s="13">
        <f>LN(F653/E653)</f>
        <v>-2.091273201337474</v>
      </c>
      <c r="H653" s="4">
        <v>11.6</v>
      </c>
      <c r="I653" s="4">
        <f>((160*(1/10)*H653)+H653*(1/20)*874.5)*2</f>
        <v>1385.62</v>
      </c>
      <c r="J653" s="12">
        <v>21442</v>
      </c>
      <c r="K653" s="12">
        <v>81653</v>
      </c>
      <c r="L653" s="14">
        <f t="shared" si="10"/>
        <v>11.6</v>
      </c>
    </row>
    <row r="654" spans="1:12" ht="19.5" x14ac:dyDescent="0.4">
      <c r="A654" s="1">
        <v>653</v>
      </c>
      <c r="B654" s="1" t="s">
        <v>33</v>
      </c>
      <c r="C654" s="1">
        <v>2023</v>
      </c>
      <c r="D654" t="s">
        <v>10</v>
      </c>
      <c r="E654" s="3">
        <v>265379</v>
      </c>
      <c r="F654" s="3">
        <v>24975</v>
      </c>
      <c r="G654" s="13">
        <f>LN(F654/E654)</f>
        <v>-2.363283668385098</v>
      </c>
      <c r="H654" s="4">
        <v>12.8</v>
      </c>
      <c r="I654" s="4">
        <f>((160*(1/10)*H654)+H654*(1/20)*874.5)*2</f>
        <v>1528.96</v>
      </c>
      <c r="J654" s="12">
        <v>19571</v>
      </c>
      <c r="K654" s="12">
        <v>74654</v>
      </c>
      <c r="L654" s="14">
        <f t="shared" si="10"/>
        <v>12.8</v>
      </c>
    </row>
    <row r="655" spans="1:12" ht="19.5" x14ac:dyDescent="0.4">
      <c r="A655" s="1">
        <v>654</v>
      </c>
      <c r="B655" s="1" t="s">
        <v>33</v>
      </c>
      <c r="C655" s="1">
        <v>2023</v>
      </c>
      <c r="D655" t="s">
        <v>11</v>
      </c>
      <c r="E655" s="3">
        <v>211835</v>
      </c>
      <c r="F655" s="3">
        <v>1901</v>
      </c>
      <c r="G655" s="13">
        <f>LN(F655/E655)</f>
        <v>-4.7134276062447693</v>
      </c>
      <c r="H655" s="4">
        <v>25.4</v>
      </c>
      <c r="I655" s="4">
        <f>((160*(1/10)*H655)+H655*(1/20)*874.5)*2</f>
        <v>3034.0299999999997</v>
      </c>
      <c r="J655" s="12">
        <v>15073</v>
      </c>
      <c r="K655" s="12">
        <v>53700</v>
      </c>
      <c r="L655" s="14">
        <f t="shared" si="10"/>
        <v>25.4</v>
      </c>
    </row>
    <row r="656" spans="1:12" ht="19.5" x14ac:dyDescent="0.4">
      <c r="A656" s="1">
        <v>655</v>
      </c>
      <c r="B656" s="1" t="s">
        <v>33</v>
      </c>
      <c r="C656" s="1">
        <v>2023</v>
      </c>
      <c r="D656" t="s">
        <v>12</v>
      </c>
      <c r="E656" s="3">
        <v>125083</v>
      </c>
      <c r="F656" s="3">
        <v>1137</v>
      </c>
      <c r="G656" s="13">
        <f>LN(F656/E656)</f>
        <v>-4.7005843021834384</v>
      </c>
      <c r="H656" s="4">
        <v>33.6</v>
      </c>
      <c r="I656" s="4">
        <f>((160*(1/10)*H656)+H656*(1/20)*874.5)*2</f>
        <v>4013.5200000000004</v>
      </c>
      <c r="J656" s="12">
        <v>7751</v>
      </c>
      <c r="K656" s="12">
        <v>40932</v>
      </c>
      <c r="L656" s="14">
        <f t="shared" si="10"/>
        <v>33.6</v>
      </c>
    </row>
    <row r="657" spans="1:12" ht="19.5" x14ac:dyDescent="0.4">
      <c r="A657" s="1">
        <v>656</v>
      </c>
      <c r="B657" s="1" t="s">
        <v>33</v>
      </c>
      <c r="C657" s="1">
        <v>2023</v>
      </c>
      <c r="D657" t="s">
        <v>13</v>
      </c>
      <c r="E657" s="3">
        <v>225298</v>
      </c>
      <c r="F657" s="3">
        <v>2995</v>
      </c>
      <c r="G657" s="13">
        <f>LN(F657/E657)</f>
        <v>-4.3204797387785661</v>
      </c>
      <c r="H657" s="4">
        <v>25.6</v>
      </c>
      <c r="I657" s="4">
        <f>((160*(1/10)*H657)+H657*(1/20)*874.5)*2</f>
        <v>3057.92</v>
      </c>
      <c r="J657" s="12">
        <v>15548</v>
      </c>
      <c r="K657" s="12">
        <v>59284</v>
      </c>
      <c r="L657" s="14">
        <f t="shared" si="10"/>
        <v>25.6</v>
      </c>
    </row>
    <row r="658" spans="1:12" ht="19.5" x14ac:dyDescent="0.4">
      <c r="A658" s="1">
        <v>657</v>
      </c>
      <c r="B658" s="1" t="s">
        <v>33</v>
      </c>
      <c r="C658" s="1">
        <v>2023</v>
      </c>
      <c r="D658" t="s">
        <v>14</v>
      </c>
      <c r="E658" s="3">
        <v>225298</v>
      </c>
      <c r="F658" s="3">
        <v>817</v>
      </c>
      <c r="G658" s="13">
        <f>LN(F658/E658)</f>
        <v>-5.6195401544681136</v>
      </c>
      <c r="H658" s="4">
        <v>37.6</v>
      </c>
      <c r="I658" s="4">
        <f>((160*(1/10)*H658)+H658*(1/20)*874.5)*2</f>
        <v>4491.3200000000006</v>
      </c>
      <c r="J658" s="12">
        <v>8519</v>
      </c>
      <c r="K658" s="12">
        <v>35078</v>
      </c>
      <c r="L658" s="14">
        <f t="shared" si="10"/>
        <v>37.6</v>
      </c>
    </row>
    <row r="659" spans="1:12" ht="19.5" x14ac:dyDescent="0.4">
      <c r="A659" s="1">
        <v>658</v>
      </c>
      <c r="B659" s="1" t="s">
        <v>33</v>
      </c>
      <c r="C659" s="1">
        <v>2023</v>
      </c>
      <c r="D659" t="s">
        <v>15</v>
      </c>
      <c r="E659" s="3">
        <v>135777</v>
      </c>
      <c r="F659" s="3">
        <v>1200</v>
      </c>
      <c r="G659" s="13">
        <f>LN(F659/E659)</f>
        <v>-4.7286922772707207</v>
      </c>
      <c r="H659" s="4">
        <v>34.799999999999997</v>
      </c>
      <c r="I659" s="4">
        <f>((160*(1/10)*H659)+H659*(1/20)*874.5)*2</f>
        <v>4156.8599999999997</v>
      </c>
      <c r="J659" s="12">
        <v>8295</v>
      </c>
      <c r="K659" s="12">
        <v>50017</v>
      </c>
      <c r="L659" s="14">
        <f t="shared" si="10"/>
        <v>34.799999999999997</v>
      </c>
    </row>
    <row r="660" spans="1:12" ht="19.5" x14ac:dyDescent="0.4">
      <c r="A660" s="1">
        <v>659</v>
      </c>
      <c r="B660" s="1" t="s">
        <v>33</v>
      </c>
      <c r="C660" s="1">
        <v>2023</v>
      </c>
      <c r="D660" t="s">
        <v>16</v>
      </c>
      <c r="E660" s="3">
        <v>217040</v>
      </c>
      <c r="F660" s="3">
        <v>5070</v>
      </c>
      <c r="G660" s="13">
        <f>LN(F660/E660)</f>
        <v>-3.7567408507475846</v>
      </c>
      <c r="H660" s="4">
        <v>16.8</v>
      </c>
      <c r="I660" s="4">
        <f>((160*(1/10)*H660)+H660*(1/20)*874.5)*2</f>
        <v>2006.7600000000002</v>
      </c>
      <c r="J660" s="12">
        <v>16187</v>
      </c>
      <c r="K660" s="12">
        <v>63371</v>
      </c>
      <c r="L660" s="14">
        <f t="shared" si="10"/>
        <v>16.8</v>
      </c>
    </row>
    <row r="661" spans="1:12" ht="19.5" x14ac:dyDescent="0.4">
      <c r="A661" s="1">
        <v>660</v>
      </c>
      <c r="B661" s="1" t="s">
        <v>33</v>
      </c>
      <c r="C661" s="1">
        <v>2023</v>
      </c>
      <c r="D661" t="s">
        <v>17</v>
      </c>
      <c r="E661" s="3">
        <v>142625</v>
      </c>
      <c r="F661" s="3">
        <v>2683</v>
      </c>
      <c r="G661" s="13">
        <f>LN(F661/E661)</f>
        <v>-3.9732832367387525</v>
      </c>
      <c r="H661" s="4">
        <v>24.4</v>
      </c>
      <c r="I661" s="4">
        <f>((160*(1/10)*H661)+H661*(1/20)*874.5)*2</f>
        <v>2914.58</v>
      </c>
      <c r="J661" s="12">
        <v>10775</v>
      </c>
      <c r="K661" s="12">
        <v>46523</v>
      </c>
      <c r="L661" s="14">
        <f t="shared" si="10"/>
        <v>24.4</v>
      </c>
    </row>
    <row r="662" spans="1:12" ht="19.5" x14ac:dyDescent="0.4">
      <c r="A662" s="1">
        <v>661</v>
      </c>
      <c r="B662" s="1" t="s">
        <v>33</v>
      </c>
      <c r="C662" s="1">
        <v>2023</v>
      </c>
      <c r="D662" t="s">
        <v>18</v>
      </c>
      <c r="E662" s="3">
        <v>56869</v>
      </c>
      <c r="F662" s="3">
        <v>2543</v>
      </c>
      <c r="G662" s="13">
        <f>LN(F662/E662)</f>
        <v>-3.1074058907607007</v>
      </c>
      <c r="H662" s="4">
        <v>15.8</v>
      </c>
      <c r="I662" s="4">
        <f>((160*(1/10)*H662)+H662*(1/20)*874.5)*2</f>
        <v>1887.31</v>
      </c>
      <c r="J662" s="12">
        <v>4168</v>
      </c>
      <c r="K662" s="12">
        <v>19403</v>
      </c>
      <c r="L662" s="14">
        <f t="shared" si="10"/>
        <v>15.8</v>
      </c>
    </row>
    <row r="663" spans="1:12" ht="19.5" x14ac:dyDescent="0.4">
      <c r="A663" s="1">
        <v>662</v>
      </c>
      <c r="B663" s="1" t="s">
        <v>33</v>
      </c>
      <c r="C663" s="1">
        <v>2023</v>
      </c>
      <c r="D663" t="s">
        <v>19</v>
      </c>
      <c r="E663" s="3">
        <v>121056</v>
      </c>
      <c r="F663" s="3">
        <v>1413</v>
      </c>
      <c r="G663" s="13">
        <f>LN(F663/E663)</f>
        <v>-4.4505381447482284</v>
      </c>
      <c r="H663" s="4">
        <v>38.6</v>
      </c>
      <c r="I663" s="4">
        <f>((160*(1/10)*H663)+H663*(1/20)*874.5)*2</f>
        <v>4610.7700000000004</v>
      </c>
      <c r="J663" s="12">
        <v>8520</v>
      </c>
      <c r="K663" s="12">
        <v>38101</v>
      </c>
      <c r="L663" s="14">
        <f t="shared" si="10"/>
        <v>38.6</v>
      </c>
    </row>
    <row r="664" spans="1:12" ht="19.5" x14ac:dyDescent="0.4">
      <c r="A664" s="5">
        <v>663</v>
      </c>
      <c r="B664" s="5" t="s">
        <v>33</v>
      </c>
      <c r="C664" s="5">
        <v>2023</v>
      </c>
      <c r="D664" s="6" t="s">
        <v>20</v>
      </c>
      <c r="E664" s="7">
        <v>58171</v>
      </c>
      <c r="F664" s="7">
        <v>370</v>
      </c>
      <c r="G664" s="15">
        <f>LN(F664/E664)</f>
        <v>-5.0576392221106943</v>
      </c>
      <c r="H664" s="8">
        <v>33.799999999999997</v>
      </c>
      <c r="I664" s="8">
        <f>((160*(1/10)*H664)+H664*(1/20)*874.5)*2</f>
        <v>4037.41</v>
      </c>
      <c r="J664" s="10">
        <v>3816</v>
      </c>
      <c r="K664" s="10">
        <v>19636</v>
      </c>
      <c r="L664" s="16">
        <f t="shared" si="10"/>
        <v>33.799999999999997</v>
      </c>
    </row>
    <row r="665" spans="1:12" ht="19.5" x14ac:dyDescent="0.4">
      <c r="A665" s="1">
        <v>664</v>
      </c>
      <c r="B665" s="1" t="s">
        <v>33</v>
      </c>
      <c r="C665" s="1">
        <v>2024</v>
      </c>
      <c r="D665" t="s">
        <v>8</v>
      </c>
      <c r="E665" s="3">
        <v>248680</v>
      </c>
      <c r="F665" s="3">
        <v>2761</v>
      </c>
      <c r="G665" s="13">
        <f>LN(F665/E665)</f>
        <v>-4.5005739964531193</v>
      </c>
      <c r="H665" s="4">
        <v>20.8</v>
      </c>
      <c r="I665" s="4">
        <f>((160*(1/10)*H665)+H665*(1/20)*874.5)*2</f>
        <v>2484.56</v>
      </c>
      <c r="J665" s="12">
        <v>15767</v>
      </c>
      <c r="K665" s="12">
        <v>67093</v>
      </c>
      <c r="L665" s="14">
        <f t="shared" si="10"/>
        <v>20.8</v>
      </c>
    </row>
    <row r="666" spans="1:12" ht="19.5" x14ac:dyDescent="0.4">
      <c r="A666" s="1">
        <v>665</v>
      </c>
      <c r="B666" s="1" t="s">
        <v>33</v>
      </c>
      <c r="C666" s="1">
        <v>2024</v>
      </c>
      <c r="D666" t="s">
        <v>9</v>
      </c>
      <c r="E666" s="3">
        <v>289323</v>
      </c>
      <c r="F666" s="3">
        <v>39864</v>
      </c>
      <c r="G666" s="13">
        <f>LN(F666/E666)</f>
        <v>-1.9820700500896524</v>
      </c>
      <c r="H666" s="4">
        <v>11.6</v>
      </c>
      <c r="I666" s="4">
        <f>((160*(1/10)*H666)+H666*(1/20)*874.5)*2</f>
        <v>1385.62</v>
      </c>
      <c r="J666" s="12">
        <v>21442</v>
      </c>
      <c r="K666" s="12">
        <v>81653</v>
      </c>
      <c r="L666" s="14">
        <f t="shared" si="10"/>
        <v>11.6</v>
      </c>
    </row>
    <row r="667" spans="1:12" ht="19.5" x14ac:dyDescent="0.4">
      <c r="A667" s="1">
        <v>666</v>
      </c>
      <c r="B667" s="1" t="s">
        <v>33</v>
      </c>
      <c r="C667" s="1">
        <v>2024</v>
      </c>
      <c r="D667" t="s">
        <v>10</v>
      </c>
      <c r="E667" s="3">
        <v>265379</v>
      </c>
      <c r="F667" s="3">
        <v>18990</v>
      </c>
      <c r="G667" s="13">
        <f>LN(F667/E667)</f>
        <v>-2.6372464680955208</v>
      </c>
      <c r="H667" s="4">
        <v>12.8</v>
      </c>
      <c r="I667" s="4">
        <f>((160*(1/10)*H667)+H667*(1/20)*874.5)*2</f>
        <v>1528.96</v>
      </c>
      <c r="J667" s="12">
        <v>19571</v>
      </c>
      <c r="K667" s="12">
        <v>74654</v>
      </c>
      <c r="L667" s="14">
        <f t="shared" si="10"/>
        <v>12.8</v>
      </c>
    </row>
    <row r="668" spans="1:12" ht="19.5" x14ac:dyDescent="0.4">
      <c r="A668" s="1">
        <v>667</v>
      </c>
      <c r="B668" s="1" t="s">
        <v>33</v>
      </c>
      <c r="C668" s="1">
        <v>2024</v>
      </c>
      <c r="D668" t="s">
        <v>11</v>
      </c>
      <c r="E668" s="3">
        <v>211835</v>
      </c>
      <c r="F668" s="3">
        <v>3109</v>
      </c>
      <c r="G668" s="13">
        <f>LN(F668/E668)</f>
        <v>-4.2215065386744453</v>
      </c>
      <c r="H668" s="4">
        <v>25.4</v>
      </c>
      <c r="I668" s="4">
        <f>((160*(1/10)*H668)+H668*(1/20)*874.5)*2</f>
        <v>3034.0299999999997</v>
      </c>
      <c r="J668" s="12">
        <v>15073</v>
      </c>
      <c r="K668" s="12">
        <v>53700</v>
      </c>
      <c r="L668" s="14">
        <f t="shared" si="10"/>
        <v>25.4</v>
      </c>
    </row>
    <row r="669" spans="1:12" ht="19.5" x14ac:dyDescent="0.4">
      <c r="A669" s="1">
        <v>668</v>
      </c>
      <c r="B669" s="1" t="s">
        <v>33</v>
      </c>
      <c r="C669" s="1">
        <v>2024</v>
      </c>
      <c r="D669" t="s">
        <v>12</v>
      </c>
      <c r="E669" s="3">
        <v>125083</v>
      </c>
      <c r="F669" s="3">
        <v>1486</v>
      </c>
      <c r="G669" s="13">
        <f>LN(F669/E669)</f>
        <v>-4.4328895706562701</v>
      </c>
      <c r="H669" s="4">
        <v>33.6</v>
      </c>
      <c r="I669" s="4">
        <f>((160*(1/10)*H669)+H669*(1/20)*874.5)*2</f>
        <v>4013.5200000000004</v>
      </c>
      <c r="J669" s="12">
        <v>7751</v>
      </c>
      <c r="K669" s="12">
        <v>40932</v>
      </c>
      <c r="L669" s="14">
        <f t="shared" si="10"/>
        <v>33.6</v>
      </c>
    </row>
    <row r="670" spans="1:12" ht="19.5" x14ac:dyDescent="0.4">
      <c r="A670" s="1">
        <v>669</v>
      </c>
      <c r="B670" s="1" t="s">
        <v>33</v>
      </c>
      <c r="C670" s="1">
        <v>2024</v>
      </c>
      <c r="D670" t="s">
        <v>13</v>
      </c>
      <c r="E670" s="3">
        <v>225298</v>
      </c>
      <c r="F670" s="3">
        <v>2914</v>
      </c>
      <c r="G670" s="13">
        <f>LN(F670/E670)</f>
        <v>-4.3478972625729657</v>
      </c>
      <c r="H670" s="4">
        <v>25.6</v>
      </c>
      <c r="I670" s="4">
        <f>((160*(1/10)*H670)+H670*(1/20)*874.5)*2</f>
        <v>3057.92</v>
      </c>
      <c r="J670" s="12">
        <v>15548</v>
      </c>
      <c r="K670" s="12">
        <v>59284</v>
      </c>
      <c r="L670" s="14">
        <f t="shared" ref="L670:L733" si="11">H670</f>
        <v>25.6</v>
      </c>
    </row>
    <row r="671" spans="1:12" ht="19.5" x14ac:dyDescent="0.4">
      <c r="A671" s="1">
        <v>670</v>
      </c>
      <c r="B671" s="1" t="s">
        <v>33</v>
      </c>
      <c r="C671" s="1">
        <v>2024</v>
      </c>
      <c r="D671" t="s">
        <v>14</v>
      </c>
      <c r="E671" s="3">
        <v>225298</v>
      </c>
      <c r="F671" s="3">
        <v>539</v>
      </c>
      <c r="G671" s="13">
        <f>LN(F671/E671)</f>
        <v>-6.0354636784191191</v>
      </c>
      <c r="H671" s="4">
        <v>37.6</v>
      </c>
      <c r="I671" s="4">
        <f>((160*(1/10)*H671)+H671*(1/20)*874.5)*2</f>
        <v>4491.3200000000006</v>
      </c>
      <c r="J671" s="12">
        <v>8519</v>
      </c>
      <c r="K671" s="12">
        <v>35078</v>
      </c>
      <c r="L671" s="14">
        <f t="shared" si="11"/>
        <v>37.6</v>
      </c>
    </row>
    <row r="672" spans="1:12" ht="19.5" x14ac:dyDescent="0.4">
      <c r="A672" s="1">
        <v>671</v>
      </c>
      <c r="B672" s="1" t="s">
        <v>33</v>
      </c>
      <c r="C672" s="1">
        <v>2024</v>
      </c>
      <c r="D672" t="s">
        <v>15</v>
      </c>
      <c r="E672" s="3">
        <v>135777</v>
      </c>
      <c r="F672" s="3">
        <v>1960</v>
      </c>
      <c r="G672" s="13">
        <f>LN(F672/E672)</f>
        <v>-4.2380693608222497</v>
      </c>
      <c r="H672" s="4">
        <v>34.799999999999997</v>
      </c>
      <c r="I672" s="4">
        <f>((160*(1/10)*H672)+H672*(1/20)*874.5)*2</f>
        <v>4156.8599999999997</v>
      </c>
      <c r="J672" s="12">
        <v>8295</v>
      </c>
      <c r="K672" s="12">
        <v>50017</v>
      </c>
      <c r="L672" s="14">
        <f t="shared" si="11"/>
        <v>34.799999999999997</v>
      </c>
    </row>
    <row r="673" spans="1:12" ht="19.5" x14ac:dyDescent="0.4">
      <c r="A673" s="1">
        <v>672</v>
      </c>
      <c r="B673" s="1" t="s">
        <v>33</v>
      </c>
      <c r="C673" s="1">
        <v>2024</v>
      </c>
      <c r="D673" t="s">
        <v>16</v>
      </c>
      <c r="E673" s="3">
        <v>217040</v>
      </c>
      <c r="F673" s="3">
        <v>5641</v>
      </c>
      <c r="G673" s="13">
        <f>LN(F673/E673)</f>
        <v>-3.6500203135928371</v>
      </c>
      <c r="H673" s="4">
        <v>16.8</v>
      </c>
      <c r="I673" s="4">
        <f>((160*(1/10)*H673)+H673*(1/20)*874.5)*2</f>
        <v>2006.7600000000002</v>
      </c>
      <c r="J673" s="12">
        <v>16187</v>
      </c>
      <c r="K673" s="12">
        <v>63371</v>
      </c>
      <c r="L673" s="14">
        <f t="shared" si="11"/>
        <v>16.8</v>
      </c>
    </row>
    <row r="674" spans="1:12" ht="19.5" x14ac:dyDescent="0.4">
      <c r="A674" s="1">
        <v>673</v>
      </c>
      <c r="B674" s="1" t="s">
        <v>33</v>
      </c>
      <c r="C674" s="1">
        <v>2024</v>
      </c>
      <c r="D674" t="s">
        <v>17</v>
      </c>
      <c r="E674" s="3">
        <v>142625</v>
      </c>
      <c r="F674" s="3">
        <v>2342</v>
      </c>
      <c r="G674" s="13">
        <f>LN(F674/E674)</f>
        <v>-4.1092135430067138</v>
      </c>
      <c r="H674" s="4">
        <v>24.4</v>
      </c>
      <c r="I674" s="4">
        <f>((160*(1/10)*H674)+H674*(1/20)*874.5)*2</f>
        <v>2914.58</v>
      </c>
      <c r="J674" s="12">
        <v>10775</v>
      </c>
      <c r="K674" s="12">
        <v>46523</v>
      </c>
      <c r="L674" s="14">
        <f t="shared" si="11"/>
        <v>24.4</v>
      </c>
    </row>
    <row r="675" spans="1:12" ht="19.5" x14ac:dyDescent="0.4">
      <c r="A675" s="1">
        <v>674</v>
      </c>
      <c r="B675" s="1" t="s">
        <v>33</v>
      </c>
      <c r="C675" s="1">
        <v>2024</v>
      </c>
      <c r="D675" t="s">
        <v>18</v>
      </c>
      <c r="E675" s="3">
        <v>56869</v>
      </c>
      <c r="F675" s="3">
        <v>2152</v>
      </c>
      <c r="G675" s="13">
        <f>LN(F675/E675)</f>
        <v>-3.2743527349011452</v>
      </c>
      <c r="H675" s="4">
        <v>15.8</v>
      </c>
      <c r="I675" s="4">
        <f>((160*(1/10)*H675)+H675*(1/20)*874.5)*2</f>
        <v>1887.31</v>
      </c>
      <c r="J675" s="12">
        <v>4168</v>
      </c>
      <c r="K675" s="12">
        <v>19403</v>
      </c>
      <c r="L675" s="14">
        <f t="shared" si="11"/>
        <v>15.8</v>
      </c>
    </row>
    <row r="676" spans="1:12" ht="19.5" x14ac:dyDescent="0.4">
      <c r="A676" s="1">
        <v>675</v>
      </c>
      <c r="B676" s="1" t="s">
        <v>33</v>
      </c>
      <c r="C676" s="1">
        <v>2024</v>
      </c>
      <c r="D676" t="s">
        <v>19</v>
      </c>
      <c r="E676" s="3">
        <v>121056</v>
      </c>
      <c r="F676" s="3">
        <v>1588</v>
      </c>
      <c r="G676" s="13">
        <f>LN(F676/E676)</f>
        <v>-4.3337778856256746</v>
      </c>
      <c r="H676" s="4">
        <v>38.6</v>
      </c>
      <c r="I676" s="4">
        <f>((160*(1/10)*H676)+H676*(1/20)*874.5)*2</f>
        <v>4610.7700000000004</v>
      </c>
      <c r="J676" s="12">
        <v>8520</v>
      </c>
      <c r="K676" s="12">
        <v>38101</v>
      </c>
      <c r="L676" s="14">
        <f t="shared" si="11"/>
        <v>38.6</v>
      </c>
    </row>
    <row r="677" spans="1:12" ht="19.5" x14ac:dyDescent="0.4">
      <c r="A677" s="5">
        <v>676</v>
      </c>
      <c r="B677" s="5" t="s">
        <v>33</v>
      </c>
      <c r="C677" s="5">
        <v>2024</v>
      </c>
      <c r="D677" s="6" t="s">
        <v>20</v>
      </c>
      <c r="E677" s="7">
        <v>58171</v>
      </c>
      <c r="F677" s="7">
        <v>685</v>
      </c>
      <c r="G677" s="15">
        <f>LN(F677/E677)</f>
        <v>-4.4417233894867385</v>
      </c>
      <c r="H677" s="8">
        <v>33.799999999999997</v>
      </c>
      <c r="I677" s="8">
        <f>((160*(1/10)*H677)+H677*(1/20)*874.5)*2</f>
        <v>4037.41</v>
      </c>
      <c r="J677" s="10">
        <v>3816</v>
      </c>
      <c r="K677" s="10">
        <v>19636</v>
      </c>
      <c r="L677" s="16">
        <f t="shared" si="11"/>
        <v>33.799999999999997</v>
      </c>
    </row>
    <row r="678" spans="1:12" ht="19.5" x14ac:dyDescent="0.4">
      <c r="A678" s="1">
        <v>677</v>
      </c>
      <c r="B678" s="1" t="s">
        <v>34</v>
      </c>
      <c r="C678" s="1">
        <v>2018</v>
      </c>
      <c r="D678" t="s">
        <v>8</v>
      </c>
      <c r="E678" s="3">
        <v>248680</v>
      </c>
      <c r="F678" s="3">
        <v>2995</v>
      </c>
      <c r="G678" s="13">
        <f>LN(F678/E678)</f>
        <v>-4.4192226978337246</v>
      </c>
      <c r="H678" s="4">
        <v>20.399999999999999</v>
      </c>
      <c r="I678" s="4">
        <f>((160*(1/10)*H678)+H678*(1/20)*874.5)*2</f>
        <v>2436.7799999999997</v>
      </c>
      <c r="J678" s="12">
        <v>15767</v>
      </c>
      <c r="K678" s="12">
        <v>67093</v>
      </c>
      <c r="L678" s="14">
        <f t="shared" si="11"/>
        <v>20.399999999999999</v>
      </c>
    </row>
    <row r="679" spans="1:12" ht="19.5" x14ac:dyDescent="0.4">
      <c r="A679" s="1">
        <v>678</v>
      </c>
      <c r="B679" s="1" t="s">
        <v>34</v>
      </c>
      <c r="C679" s="1">
        <v>2018</v>
      </c>
      <c r="D679" t="s">
        <v>9</v>
      </c>
      <c r="E679" s="3">
        <v>289323</v>
      </c>
      <c r="F679" s="3">
        <v>5644</v>
      </c>
      <c r="G679" s="13">
        <f>LN(F679/E679)</f>
        <v>-3.9369506770781881</v>
      </c>
      <c r="H679" s="4">
        <v>20.8</v>
      </c>
      <c r="I679" s="4">
        <f>((160*(1/10)*H679)+H679*(1/20)*874.5)*2</f>
        <v>2484.56</v>
      </c>
      <c r="J679" s="12">
        <v>21442</v>
      </c>
      <c r="K679" s="12">
        <v>81653</v>
      </c>
      <c r="L679" s="14">
        <f t="shared" si="11"/>
        <v>20.8</v>
      </c>
    </row>
    <row r="680" spans="1:12" ht="19.5" x14ac:dyDescent="0.4">
      <c r="A680" s="1">
        <v>679</v>
      </c>
      <c r="B680" s="1" t="s">
        <v>34</v>
      </c>
      <c r="C680" s="1">
        <v>2018</v>
      </c>
      <c r="D680" t="s">
        <v>10</v>
      </c>
      <c r="E680" s="3">
        <v>265379</v>
      </c>
      <c r="F680" s="3">
        <v>3897</v>
      </c>
      <c r="G680" s="13">
        <f>LN(F680/E680)</f>
        <v>-4.2209519665631428</v>
      </c>
      <c r="H680" s="4">
        <v>15.6</v>
      </c>
      <c r="I680" s="4">
        <f>((160*(1/10)*H680)+H680*(1/20)*874.5)*2</f>
        <v>1863.42</v>
      </c>
      <c r="J680" s="12">
        <v>19571</v>
      </c>
      <c r="K680" s="12">
        <v>74654</v>
      </c>
      <c r="L680" s="14">
        <f t="shared" si="11"/>
        <v>15.6</v>
      </c>
    </row>
    <row r="681" spans="1:12" ht="19.5" x14ac:dyDescent="0.4">
      <c r="A681" s="1">
        <v>680</v>
      </c>
      <c r="B681" s="1" t="s">
        <v>34</v>
      </c>
      <c r="C681" s="1">
        <v>2018</v>
      </c>
      <c r="D681" t="s">
        <v>11</v>
      </c>
      <c r="E681" s="3">
        <v>211835</v>
      </c>
      <c r="F681" s="3">
        <v>29711</v>
      </c>
      <c r="G681" s="13">
        <f>LN(F681/E681)</f>
        <v>-1.9642903221422126</v>
      </c>
      <c r="H681" s="4">
        <v>10</v>
      </c>
      <c r="I681" s="4">
        <f>((160*(1/10)*H681)+H681*(1/20)*874.5)*2</f>
        <v>1194.5</v>
      </c>
      <c r="J681" s="12">
        <v>15073</v>
      </c>
      <c r="K681" s="12">
        <v>53700</v>
      </c>
      <c r="L681" s="14">
        <f t="shared" si="11"/>
        <v>10</v>
      </c>
    </row>
    <row r="682" spans="1:12" ht="19.5" x14ac:dyDescent="0.4">
      <c r="A682" s="1">
        <v>681</v>
      </c>
      <c r="B682" s="1" t="s">
        <v>34</v>
      </c>
      <c r="C682" s="1">
        <v>2018</v>
      </c>
      <c r="D682" t="s">
        <v>12</v>
      </c>
      <c r="E682" s="3">
        <v>125083</v>
      </c>
      <c r="F682" s="3">
        <v>6749</v>
      </c>
      <c r="G682" s="13">
        <f>LN(F682/E682)</f>
        <v>-2.9195831711905682</v>
      </c>
      <c r="H682" s="4">
        <v>12.6</v>
      </c>
      <c r="I682" s="4">
        <f>((160*(1/10)*H682)+H682*(1/20)*874.5)*2</f>
        <v>1505.0700000000002</v>
      </c>
      <c r="J682" s="12">
        <v>7751</v>
      </c>
      <c r="K682" s="12">
        <v>40932</v>
      </c>
      <c r="L682" s="14">
        <f t="shared" si="11"/>
        <v>12.6</v>
      </c>
    </row>
    <row r="683" spans="1:12" ht="19.5" x14ac:dyDescent="0.4">
      <c r="A683" s="1">
        <v>682</v>
      </c>
      <c r="B683" s="1" t="s">
        <v>34</v>
      </c>
      <c r="C683" s="1">
        <v>2018</v>
      </c>
      <c r="D683" t="s">
        <v>13</v>
      </c>
      <c r="E683" s="3">
        <v>225298</v>
      </c>
      <c r="F683" s="3">
        <v>4892</v>
      </c>
      <c r="G683" s="13">
        <f>LN(F683/E683)</f>
        <v>-3.8298227525210531</v>
      </c>
      <c r="H683" s="4">
        <v>14.2</v>
      </c>
      <c r="I683" s="4">
        <f>((160*(1/10)*H683)+H683*(1/20)*874.5)*2</f>
        <v>1696.19</v>
      </c>
      <c r="J683" s="12">
        <v>15548</v>
      </c>
      <c r="K683" s="12">
        <v>59284</v>
      </c>
      <c r="L683" s="14">
        <f t="shared" si="11"/>
        <v>14.2</v>
      </c>
    </row>
    <row r="684" spans="1:12" ht="19.5" x14ac:dyDescent="0.4">
      <c r="A684" s="1">
        <v>683</v>
      </c>
      <c r="B684" s="1" t="s">
        <v>34</v>
      </c>
      <c r="C684" s="1">
        <v>2018</v>
      </c>
      <c r="D684" t="s">
        <v>14</v>
      </c>
      <c r="E684" s="3">
        <v>225298</v>
      </c>
      <c r="F684" s="3">
        <v>3279</v>
      </c>
      <c r="G684" s="13">
        <f>LN(F684/E684)</f>
        <v>-4.2298854724834678</v>
      </c>
      <c r="H684" s="4">
        <v>19</v>
      </c>
      <c r="I684" s="4">
        <f>((160*(1/10)*H684)+H684*(1/20)*874.5)*2</f>
        <v>2269.5500000000002</v>
      </c>
      <c r="J684" s="12">
        <v>8519</v>
      </c>
      <c r="K684" s="12">
        <v>35078</v>
      </c>
      <c r="L684" s="14">
        <f t="shared" si="11"/>
        <v>19</v>
      </c>
    </row>
    <row r="685" spans="1:12" ht="19.5" x14ac:dyDescent="0.4">
      <c r="A685" s="1">
        <v>684</v>
      </c>
      <c r="B685" s="1" t="s">
        <v>34</v>
      </c>
      <c r="C685" s="1">
        <v>2018</v>
      </c>
      <c r="D685" t="s">
        <v>15</v>
      </c>
      <c r="E685" s="3">
        <v>135777</v>
      </c>
      <c r="F685" s="3">
        <v>1143</v>
      </c>
      <c r="G685" s="13">
        <f>LN(F685/E685)</f>
        <v>-4.7773574492520021</v>
      </c>
      <c r="H685" s="4">
        <v>25.6</v>
      </c>
      <c r="I685" s="4">
        <f>((160*(1/10)*H685)+H685*(1/20)*874.5)*2</f>
        <v>3057.92</v>
      </c>
      <c r="J685" s="12">
        <v>8295</v>
      </c>
      <c r="K685" s="12">
        <v>50017</v>
      </c>
      <c r="L685" s="14">
        <f t="shared" si="11"/>
        <v>25.6</v>
      </c>
    </row>
    <row r="686" spans="1:12" ht="19.5" x14ac:dyDescent="0.4">
      <c r="A686" s="1">
        <v>685</v>
      </c>
      <c r="B686" s="1" t="s">
        <v>34</v>
      </c>
      <c r="C686" s="1">
        <v>2018</v>
      </c>
      <c r="D686" t="s">
        <v>16</v>
      </c>
      <c r="E686" s="3">
        <v>217040</v>
      </c>
      <c r="F686" s="3">
        <v>1740</v>
      </c>
      <c r="G686" s="13">
        <f>LN(F686/E686)</f>
        <v>-4.8261965551242385</v>
      </c>
      <c r="H686" s="4">
        <v>27.6</v>
      </c>
      <c r="I686" s="4">
        <f>((160*(1/10)*H686)+H686*(1/20)*874.5)*2</f>
        <v>3296.8200000000006</v>
      </c>
      <c r="J686" s="12">
        <v>16187</v>
      </c>
      <c r="K686" s="12">
        <v>63371</v>
      </c>
      <c r="L686" s="14">
        <f t="shared" si="11"/>
        <v>27.6</v>
      </c>
    </row>
    <row r="687" spans="1:12" ht="19.5" x14ac:dyDescent="0.4">
      <c r="A687" s="1">
        <v>686</v>
      </c>
      <c r="B687" s="1" t="s">
        <v>34</v>
      </c>
      <c r="C687" s="1">
        <v>2018</v>
      </c>
      <c r="D687" t="s">
        <v>17</v>
      </c>
      <c r="E687" s="3">
        <v>142625</v>
      </c>
      <c r="F687" s="3">
        <v>1079</v>
      </c>
      <c r="G687" s="13">
        <f>LN(F687/E687)</f>
        <v>-4.8841841219062418</v>
      </c>
      <c r="H687" s="4">
        <v>45.2</v>
      </c>
      <c r="I687" s="4">
        <f>((160*(1/10)*H687)+H687*(1/20)*874.5)*2</f>
        <v>5399.14</v>
      </c>
      <c r="J687" s="12">
        <v>10775</v>
      </c>
      <c r="K687" s="12">
        <v>46523</v>
      </c>
      <c r="L687" s="14">
        <f t="shared" si="11"/>
        <v>45.2</v>
      </c>
    </row>
    <row r="688" spans="1:12" ht="19.5" x14ac:dyDescent="0.4">
      <c r="A688" s="1">
        <v>687</v>
      </c>
      <c r="B688" s="1" t="s">
        <v>34</v>
      </c>
      <c r="C688" s="1">
        <v>2018</v>
      </c>
      <c r="D688" t="s">
        <v>18</v>
      </c>
      <c r="E688" s="3">
        <v>56869</v>
      </c>
      <c r="F688" s="3">
        <v>137</v>
      </c>
      <c r="G688" s="13">
        <f>LN(F688/E688)</f>
        <v>-6.0285247303546958</v>
      </c>
      <c r="H688" s="4">
        <v>40.799999999999997</v>
      </c>
      <c r="I688" s="4">
        <f>((160*(1/10)*H688)+H688*(1/20)*874.5)*2</f>
        <v>4873.5599999999995</v>
      </c>
      <c r="J688" s="12">
        <v>4168</v>
      </c>
      <c r="K688" s="12">
        <v>19403</v>
      </c>
      <c r="L688" s="14">
        <f t="shared" si="11"/>
        <v>40.799999999999997</v>
      </c>
    </row>
    <row r="689" spans="1:12" ht="19.5" x14ac:dyDescent="0.4">
      <c r="A689" s="1">
        <v>688</v>
      </c>
      <c r="B689" s="1" t="s">
        <v>34</v>
      </c>
      <c r="C689" s="1">
        <v>2018</v>
      </c>
      <c r="D689" t="s">
        <v>19</v>
      </c>
      <c r="E689" s="3">
        <v>121056</v>
      </c>
      <c r="F689" s="3">
        <v>2675</v>
      </c>
      <c r="G689" s="13">
        <f>LN(F689/E689)</f>
        <v>-3.8123038681026489</v>
      </c>
      <c r="H689" s="4">
        <v>21.8</v>
      </c>
      <c r="I689" s="4">
        <f>((160*(1/10)*H689)+H689*(1/20)*874.5)*2</f>
        <v>2604.0100000000002</v>
      </c>
      <c r="J689" s="12">
        <v>8520</v>
      </c>
      <c r="K689" s="12">
        <v>38101</v>
      </c>
      <c r="L689" s="14">
        <f t="shared" si="11"/>
        <v>21.8</v>
      </c>
    </row>
    <row r="690" spans="1:12" ht="19.5" x14ac:dyDescent="0.4">
      <c r="A690" s="5">
        <v>689</v>
      </c>
      <c r="B690" s="5" t="s">
        <v>34</v>
      </c>
      <c r="C690" s="5">
        <v>2018</v>
      </c>
      <c r="D690" s="6" t="s">
        <v>20</v>
      </c>
      <c r="E690" s="7">
        <v>58171</v>
      </c>
      <c r="F690" s="7">
        <v>509</v>
      </c>
      <c r="G690" s="15">
        <f>LN(F690/E690)</f>
        <v>-4.7386942111984416</v>
      </c>
      <c r="H690" s="8">
        <v>33</v>
      </c>
      <c r="I690" s="8">
        <f>((160*(1/10)*H690)+H690*(1/20)*874.5)*2</f>
        <v>3941.8500000000004</v>
      </c>
      <c r="J690" s="10">
        <v>3816</v>
      </c>
      <c r="K690" s="10">
        <v>19636</v>
      </c>
      <c r="L690" s="16">
        <f t="shared" si="11"/>
        <v>33</v>
      </c>
    </row>
    <row r="691" spans="1:12" ht="19.5" x14ac:dyDescent="0.4">
      <c r="A691" s="1">
        <v>690</v>
      </c>
      <c r="B691" s="1" t="s">
        <v>34</v>
      </c>
      <c r="C691" s="1">
        <v>2019</v>
      </c>
      <c r="D691" t="s">
        <v>8</v>
      </c>
      <c r="E691" s="3">
        <v>248680</v>
      </c>
      <c r="F691" s="3">
        <v>2493</v>
      </c>
      <c r="G691" s="13">
        <f>LN(F691/E691)</f>
        <v>-4.6026801248597158</v>
      </c>
      <c r="H691" s="4">
        <v>20.399999999999999</v>
      </c>
      <c r="I691" s="4">
        <f>((160*(1/10)*H691)+H691*(1/20)*874.5)*2</f>
        <v>2436.7799999999997</v>
      </c>
      <c r="J691" s="12">
        <v>15767</v>
      </c>
      <c r="K691" s="12">
        <v>67093</v>
      </c>
      <c r="L691" s="14">
        <f t="shared" si="11"/>
        <v>20.399999999999999</v>
      </c>
    </row>
    <row r="692" spans="1:12" ht="19.5" x14ac:dyDescent="0.4">
      <c r="A692" s="1">
        <v>691</v>
      </c>
      <c r="B692" s="1" t="s">
        <v>34</v>
      </c>
      <c r="C692" s="1">
        <v>2019</v>
      </c>
      <c r="D692" t="s">
        <v>9</v>
      </c>
      <c r="E692" s="3">
        <v>289323</v>
      </c>
      <c r="F692" s="3">
        <v>4021</v>
      </c>
      <c r="G692" s="13">
        <f>LN(F692/E692)</f>
        <v>-4.2760130831536189</v>
      </c>
      <c r="H692" s="4">
        <v>20.8</v>
      </c>
      <c r="I692" s="4">
        <f>((160*(1/10)*H692)+H692*(1/20)*874.5)*2</f>
        <v>2484.56</v>
      </c>
      <c r="J692" s="12">
        <v>21442</v>
      </c>
      <c r="K692" s="12">
        <v>81653</v>
      </c>
      <c r="L692" s="14">
        <f t="shared" si="11"/>
        <v>20.8</v>
      </c>
    </row>
    <row r="693" spans="1:12" ht="19.5" x14ac:dyDescent="0.4">
      <c r="A693" s="1">
        <v>692</v>
      </c>
      <c r="B693" s="1" t="s">
        <v>34</v>
      </c>
      <c r="C693" s="1">
        <v>2019</v>
      </c>
      <c r="D693" t="s">
        <v>10</v>
      </c>
      <c r="E693" s="3">
        <v>265379</v>
      </c>
      <c r="F693" s="3">
        <v>8452</v>
      </c>
      <c r="G693" s="13">
        <f>LN(F693/E693)</f>
        <v>-3.4467558931659048</v>
      </c>
      <c r="H693" s="4">
        <v>15.6</v>
      </c>
      <c r="I693" s="4">
        <f>((160*(1/10)*H693)+H693*(1/20)*874.5)*2</f>
        <v>1863.42</v>
      </c>
      <c r="J693" s="12">
        <v>19571</v>
      </c>
      <c r="K693" s="12">
        <v>74654</v>
      </c>
      <c r="L693" s="14">
        <f t="shared" si="11"/>
        <v>15.6</v>
      </c>
    </row>
    <row r="694" spans="1:12" ht="19.5" x14ac:dyDescent="0.4">
      <c r="A694" s="1">
        <v>693</v>
      </c>
      <c r="B694" s="1" t="s">
        <v>34</v>
      </c>
      <c r="C694" s="1">
        <v>2019</v>
      </c>
      <c r="D694" t="s">
        <v>11</v>
      </c>
      <c r="E694" s="3">
        <v>211835</v>
      </c>
      <c r="F694" s="3">
        <v>42234</v>
      </c>
      <c r="G694" s="13">
        <f>LN(F694/E694)</f>
        <v>-1.6125820858970121</v>
      </c>
      <c r="H694" s="4">
        <v>10</v>
      </c>
      <c r="I694" s="4">
        <f>((160*(1/10)*H694)+H694*(1/20)*874.5)*2</f>
        <v>1194.5</v>
      </c>
      <c r="J694" s="12">
        <v>15073</v>
      </c>
      <c r="K694" s="12">
        <v>53700</v>
      </c>
      <c r="L694" s="14">
        <f t="shared" si="11"/>
        <v>10</v>
      </c>
    </row>
    <row r="695" spans="1:12" ht="19.5" x14ac:dyDescent="0.4">
      <c r="A695" s="1">
        <v>694</v>
      </c>
      <c r="B695" s="1" t="s">
        <v>34</v>
      </c>
      <c r="C695" s="1">
        <v>2019</v>
      </c>
      <c r="D695" t="s">
        <v>12</v>
      </c>
      <c r="E695" s="3">
        <v>125083</v>
      </c>
      <c r="F695" s="3">
        <v>7173</v>
      </c>
      <c r="G695" s="13">
        <f>LN(F695/E695)</f>
        <v>-2.8586535398075403</v>
      </c>
      <c r="H695" s="4">
        <v>12.6</v>
      </c>
      <c r="I695" s="4">
        <f>((160*(1/10)*H695)+H695*(1/20)*874.5)*2</f>
        <v>1505.0700000000002</v>
      </c>
      <c r="J695" s="12">
        <v>7751</v>
      </c>
      <c r="K695" s="12">
        <v>40932</v>
      </c>
      <c r="L695" s="14">
        <f t="shared" si="11"/>
        <v>12.6</v>
      </c>
    </row>
    <row r="696" spans="1:12" ht="19.5" x14ac:dyDescent="0.4">
      <c r="A696" s="1">
        <v>695</v>
      </c>
      <c r="B696" s="1" t="s">
        <v>34</v>
      </c>
      <c r="C696" s="1">
        <v>2019</v>
      </c>
      <c r="D696" t="s">
        <v>13</v>
      </c>
      <c r="E696" s="3">
        <v>225298</v>
      </c>
      <c r="F696" s="3">
        <v>6947</v>
      </c>
      <c r="G696" s="13">
        <f>LN(F696/E696)</f>
        <v>-3.4791140586352349</v>
      </c>
      <c r="H696" s="4">
        <v>14.2</v>
      </c>
      <c r="I696" s="4">
        <f>((160*(1/10)*H696)+H696*(1/20)*874.5)*2</f>
        <v>1696.19</v>
      </c>
      <c r="J696" s="12">
        <v>15548</v>
      </c>
      <c r="K696" s="12">
        <v>59284</v>
      </c>
      <c r="L696" s="14">
        <f t="shared" si="11"/>
        <v>14.2</v>
      </c>
    </row>
    <row r="697" spans="1:12" ht="19.5" x14ac:dyDescent="0.4">
      <c r="A697" s="1">
        <v>696</v>
      </c>
      <c r="B697" s="1" t="s">
        <v>34</v>
      </c>
      <c r="C697" s="1">
        <v>2019</v>
      </c>
      <c r="D697" t="s">
        <v>14</v>
      </c>
      <c r="E697" s="3">
        <v>225298</v>
      </c>
      <c r="F697" s="3">
        <v>3259</v>
      </c>
      <c r="G697" s="13">
        <f>LN(F697/E697)</f>
        <v>-4.2360035704905545</v>
      </c>
      <c r="H697" s="4">
        <v>19</v>
      </c>
      <c r="I697" s="4">
        <f>((160*(1/10)*H697)+H697*(1/20)*874.5)*2</f>
        <v>2269.5500000000002</v>
      </c>
      <c r="J697" s="12">
        <v>8519</v>
      </c>
      <c r="K697" s="12">
        <v>35078</v>
      </c>
      <c r="L697" s="14">
        <f t="shared" si="11"/>
        <v>19</v>
      </c>
    </row>
    <row r="698" spans="1:12" ht="19.5" x14ac:dyDescent="0.4">
      <c r="A698" s="1">
        <v>697</v>
      </c>
      <c r="B698" s="1" t="s">
        <v>34</v>
      </c>
      <c r="C698" s="1">
        <v>2019</v>
      </c>
      <c r="D698" t="s">
        <v>15</v>
      </c>
      <c r="E698" s="3">
        <v>135777</v>
      </c>
      <c r="F698" s="3">
        <v>2190</v>
      </c>
      <c r="G698" s="13">
        <f>LN(F698/E698)</f>
        <v>-4.1271122902362656</v>
      </c>
      <c r="H698" s="4">
        <v>25.6</v>
      </c>
      <c r="I698" s="4">
        <f>((160*(1/10)*H698)+H698*(1/20)*874.5)*2</f>
        <v>3057.92</v>
      </c>
      <c r="J698" s="12">
        <v>8295</v>
      </c>
      <c r="K698" s="12">
        <v>50017</v>
      </c>
      <c r="L698" s="14">
        <f t="shared" si="11"/>
        <v>25.6</v>
      </c>
    </row>
    <row r="699" spans="1:12" ht="19.5" x14ac:dyDescent="0.4">
      <c r="A699" s="1">
        <v>698</v>
      </c>
      <c r="B699" s="1" t="s">
        <v>34</v>
      </c>
      <c r="C699" s="1">
        <v>2019</v>
      </c>
      <c r="D699" t="s">
        <v>16</v>
      </c>
      <c r="E699" s="3">
        <v>217040</v>
      </c>
      <c r="F699" s="3">
        <v>1848</v>
      </c>
      <c r="G699" s="13">
        <f>LN(F699/E699)</f>
        <v>-4.7659776951311841</v>
      </c>
      <c r="H699" s="4">
        <v>27.6</v>
      </c>
      <c r="I699" s="4">
        <f>((160*(1/10)*H699)+H699*(1/20)*874.5)*2</f>
        <v>3296.8200000000006</v>
      </c>
      <c r="J699" s="12">
        <v>16187</v>
      </c>
      <c r="K699" s="12">
        <v>63371</v>
      </c>
      <c r="L699" s="14">
        <f t="shared" si="11"/>
        <v>27.6</v>
      </c>
    </row>
    <row r="700" spans="1:12" ht="19.5" x14ac:dyDescent="0.4">
      <c r="A700" s="1">
        <v>699</v>
      </c>
      <c r="B700" s="1" t="s">
        <v>34</v>
      </c>
      <c r="C700" s="1">
        <v>2019</v>
      </c>
      <c r="D700" t="s">
        <v>17</v>
      </c>
      <c r="E700" s="3">
        <v>142625</v>
      </c>
      <c r="F700" s="3">
        <v>610</v>
      </c>
      <c r="G700" s="13">
        <f>LN(F700/E700)</f>
        <v>-5.45451512999702</v>
      </c>
      <c r="H700" s="4">
        <v>45.2</v>
      </c>
      <c r="I700" s="4">
        <f>((160*(1/10)*H700)+H700*(1/20)*874.5)*2</f>
        <v>5399.14</v>
      </c>
      <c r="J700" s="12">
        <v>10775</v>
      </c>
      <c r="K700" s="12">
        <v>46523</v>
      </c>
      <c r="L700" s="14">
        <f t="shared" si="11"/>
        <v>45.2</v>
      </c>
    </row>
    <row r="701" spans="1:12" ht="19.5" x14ac:dyDescent="0.4">
      <c r="A701" s="1">
        <v>700</v>
      </c>
      <c r="B701" s="1" t="s">
        <v>34</v>
      </c>
      <c r="C701" s="1">
        <v>2019</v>
      </c>
      <c r="D701" t="s">
        <v>18</v>
      </c>
      <c r="E701" s="3">
        <v>56869</v>
      </c>
      <c r="F701" s="3">
        <v>357</v>
      </c>
      <c r="G701" s="13">
        <f>LN(F701/E701)</f>
        <v>-5.0707698744031813</v>
      </c>
      <c r="H701" s="4">
        <v>40.799999999999997</v>
      </c>
      <c r="I701" s="4">
        <f>((160*(1/10)*H701)+H701*(1/20)*874.5)*2</f>
        <v>4873.5599999999995</v>
      </c>
      <c r="J701" s="12">
        <v>4168</v>
      </c>
      <c r="K701" s="12">
        <v>19403</v>
      </c>
      <c r="L701" s="14">
        <f t="shared" si="11"/>
        <v>40.799999999999997</v>
      </c>
    </row>
    <row r="702" spans="1:12" ht="19.5" x14ac:dyDescent="0.4">
      <c r="A702" s="1">
        <v>701</v>
      </c>
      <c r="B702" s="1" t="s">
        <v>34</v>
      </c>
      <c r="C702" s="1">
        <v>2019</v>
      </c>
      <c r="D702" t="s">
        <v>19</v>
      </c>
      <c r="E702" s="3">
        <v>121056</v>
      </c>
      <c r="F702" s="3">
        <v>4880</v>
      </c>
      <c r="G702" s="13">
        <f>LN(F702/E702)</f>
        <v>-3.2111080285855627</v>
      </c>
      <c r="H702" s="4">
        <v>21.8</v>
      </c>
      <c r="I702" s="4">
        <f>((160*(1/10)*H702)+H702*(1/20)*874.5)*2</f>
        <v>2604.0100000000002</v>
      </c>
      <c r="J702" s="12">
        <v>8520</v>
      </c>
      <c r="K702" s="12">
        <v>38101</v>
      </c>
      <c r="L702" s="14">
        <f t="shared" si="11"/>
        <v>21.8</v>
      </c>
    </row>
    <row r="703" spans="1:12" ht="19.5" x14ac:dyDescent="0.4">
      <c r="A703" s="5">
        <v>702</v>
      </c>
      <c r="B703" s="5" t="s">
        <v>34</v>
      </c>
      <c r="C703" s="5">
        <v>2019</v>
      </c>
      <c r="D703" s="6" t="s">
        <v>20</v>
      </c>
      <c r="E703" s="7">
        <v>58171</v>
      </c>
      <c r="F703" s="7">
        <v>427</v>
      </c>
      <c r="G703" s="15">
        <f>LN(F703/E703)</f>
        <v>-4.9143582145203393</v>
      </c>
      <c r="H703" s="8">
        <v>33</v>
      </c>
      <c r="I703" s="8">
        <f>((160*(1/10)*H703)+H703*(1/20)*874.5)*2</f>
        <v>3941.8500000000004</v>
      </c>
      <c r="J703" s="10">
        <v>3816</v>
      </c>
      <c r="K703" s="10">
        <v>19636</v>
      </c>
      <c r="L703" s="16">
        <f t="shared" si="11"/>
        <v>33</v>
      </c>
    </row>
    <row r="704" spans="1:12" ht="19.5" x14ac:dyDescent="0.4">
      <c r="A704" s="1">
        <v>703</v>
      </c>
      <c r="B704" s="1" t="s">
        <v>34</v>
      </c>
      <c r="C704" s="1">
        <v>2023</v>
      </c>
      <c r="D704" t="s">
        <v>8</v>
      </c>
      <c r="E704" s="3">
        <v>248680</v>
      </c>
      <c r="F704" s="3">
        <v>1557</v>
      </c>
      <c r="G704" s="13">
        <f>LN(F704/E704)</f>
        <v>-5.073406036549275</v>
      </c>
      <c r="H704" s="4">
        <v>20.399999999999999</v>
      </c>
      <c r="I704" s="4">
        <f>((160*(1/10)*H704)+H704*(1/20)*874.5)*2</f>
        <v>2436.7799999999997</v>
      </c>
      <c r="J704" s="12">
        <v>15767</v>
      </c>
      <c r="K704" s="12">
        <v>67093</v>
      </c>
      <c r="L704" s="14">
        <f t="shared" si="11"/>
        <v>20.399999999999999</v>
      </c>
    </row>
    <row r="705" spans="1:12" ht="19.5" x14ac:dyDescent="0.4">
      <c r="A705" s="1">
        <v>704</v>
      </c>
      <c r="B705" s="1" t="s">
        <v>34</v>
      </c>
      <c r="C705" s="1">
        <v>2023</v>
      </c>
      <c r="D705" t="s">
        <v>9</v>
      </c>
      <c r="E705" s="3">
        <v>289323</v>
      </c>
      <c r="F705" s="3">
        <v>1275</v>
      </c>
      <c r="G705" s="13">
        <f>LN(F705/E705)</f>
        <v>-5.4245975324583666</v>
      </c>
      <c r="H705" s="4">
        <v>20.8</v>
      </c>
      <c r="I705" s="4">
        <f>((160*(1/10)*H705)+H705*(1/20)*874.5)*2</f>
        <v>2484.56</v>
      </c>
      <c r="J705" s="12">
        <v>21442</v>
      </c>
      <c r="K705" s="12">
        <v>81653</v>
      </c>
      <c r="L705" s="14">
        <f t="shared" si="11"/>
        <v>20.8</v>
      </c>
    </row>
    <row r="706" spans="1:12" ht="19.5" x14ac:dyDescent="0.4">
      <c r="A706" s="1">
        <v>705</v>
      </c>
      <c r="B706" s="1" t="s">
        <v>34</v>
      </c>
      <c r="C706" s="1">
        <v>2023</v>
      </c>
      <c r="D706" t="s">
        <v>10</v>
      </c>
      <c r="E706" s="3">
        <v>265379</v>
      </c>
      <c r="F706" s="3">
        <v>2540</v>
      </c>
      <c r="G706" s="13">
        <f>LN(F706/E706)</f>
        <v>-4.6489949118892699</v>
      </c>
      <c r="H706" s="4">
        <v>15.6</v>
      </c>
      <c r="I706" s="4">
        <f>((160*(1/10)*H706)+H706*(1/20)*874.5)*2</f>
        <v>1863.42</v>
      </c>
      <c r="J706" s="12">
        <v>19571</v>
      </c>
      <c r="K706" s="12">
        <v>74654</v>
      </c>
      <c r="L706" s="14">
        <f t="shared" si="11"/>
        <v>15.6</v>
      </c>
    </row>
    <row r="707" spans="1:12" ht="19.5" x14ac:dyDescent="0.4">
      <c r="A707" s="1">
        <v>706</v>
      </c>
      <c r="B707" s="1" t="s">
        <v>34</v>
      </c>
      <c r="C707" s="1">
        <v>2023</v>
      </c>
      <c r="D707" t="s">
        <v>11</v>
      </c>
      <c r="E707" s="3">
        <v>211835</v>
      </c>
      <c r="F707" s="3">
        <v>20428</v>
      </c>
      <c r="G707" s="13">
        <f>LN(F707/E707)</f>
        <v>-2.3389011609656642</v>
      </c>
      <c r="H707" s="4">
        <v>10</v>
      </c>
      <c r="I707" s="4">
        <f>((160*(1/10)*H707)+H707*(1/20)*874.5)*2</f>
        <v>1194.5</v>
      </c>
      <c r="J707" s="12">
        <v>15073</v>
      </c>
      <c r="K707" s="12">
        <v>53700</v>
      </c>
      <c r="L707" s="14">
        <f t="shared" si="11"/>
        <v>10</v>
      </c>
    </row>
    <row r="708" spans="1:12" ht="19.5" x14ac:dyDescent="0.4">
      <c r="A708" s="1">
        <v>707</v>
      </c>
      <c r="B708" s="1" t="s">
        <v>34</v>
      </c>
      <c r="C708" s="1">
        <v>2023</v>
      </c>
      <c r="D708" t="s">
        <v>12</v>
      </c>
      <c r="E708" s="3">
        <v>125083</v>
      </c>
      <c r="F708" s="3">
        <v>4893</v>
      </c>
      <c r="G708" s="13">
        <f>LN(F708/E708)</f>
        <v>-3.2411719046448511</v>
      </c>
      <c r="H708" s="4">
        <v>12.6</v>
      </c>
      <c r="I708" s="4">
        <f>((160*(1/10)*H708)+H708*(1/20)*874.5)*2</f>
        <v>1505.0700000000002</v>
      </c>
      <c r="J708" s="12">
        <v>7751</v>
      </c>
      <c r="K708" s="12">
        <v>40932</v>
      </c>
      <c r="L708" s="14">
        <f t="shared" si="11"/>
        <v>12.6</v>
      </c>
    </row>
    <row r="709" spans="1:12" ht="19.5" x14ac:dyDescent="0.4">
      <c r="A709" s="1">
        <v>708</v>
      </c>
      <c r="B709" s="1" t="s">
        <v>34</v>
      </c>
      <c r="C709" s="1">
        <v>2023</v>
      </c>
      <c r="D709" t="s">
        <v>13</v>
      </c>
      <c r="E709" s="3">
        <v>225298</v>
      </c>
      <c r="F709" s="3">
        <v>2828</v>
      </c>
      <c r="G709" s="13">
        <f>LN(F709/E709)</f>
        <v>-4.3778542223116528</v>
      </c>
      <c r="H709" s="4">
        <v>14.2</v>
      </c>
      <c r="I709" s="4">
        <f>((160*(1/10)*H709)+H709*(1/20)*874.5)*2</f>
        <v>1696.19</v>
      </c>
      <c r="J709" s="12">
        <v>15548</v>
      </c>
      <c r="K709" s="12">
        <v>59284</v>
      </c>
      <c r="L709" s="14">
        <f t="shared" si="11"/>
        <v>14.2</v>
      </c>
    </row>
    <row r="710" spans="1:12" ht="19.5" x14ac:dyDescent="0.4">
      <c r="A710" s="1">
        <v>709</v>
      </c>
      <c r="B710" s="1" t="s">
        <v>34</v>
      </c>
      <c r="C710" s="1">
        <v>2023</v>
      </c>
      <c r="D710" t="s">
        <v>14</v>
      </c>
      <c r="E710" s="3">
        <v>225298</v>
      </c>
      <c r="F710" s="3">
        <v>2069</v>
      </c>
      <c r="G710" s="13">
        <f>LN(F710/E710)</f>
        <v>-4.6903585715825731</v>
      </c>
      <c r="H710" s="4">
        <v>19</v>
      </c>
      <c r="I710" s="4">
        <f>((160*(1/10)*H710)+H710*(1/20)*874.5)*2</f>
        <v>2269.5500000000002</v>
      </c>
      <c r="J710" s="12">
        <v>8519</v>
      </c>
      <c r="K710" s="12">
        <v>35078</v>
      </c>
      <c r="L710" s="14">
        <f t="shared" si="11"/>
        <v>19</v>
      </c>
    </row>
    <row r="711" spans="1:12" ht="19.5" x14ac:dyDescent="0.4">
      <c r="A711" s="1">
        <v>710</v>
      </c>
      <c r="B711" s="1" t="s">
        <v>34</v>
      </c>
      <c r="C711" s="1">
        <v>2023</v>
      </c>
      <c r="D711" t="s">
        <v>15</v>
      </c>
      <c r="E711" s="3">
        <v>135777</v>
      </c>
      <c r="F711" s="3">
        <v>836</v>
      </c>
      <c r="G711" s="13">
        <f>LN(F711/E711)</f>
        <v>-5.0901404999621107</v>
      </c>
      <c r="H711" s="4">
        <v>25.6</v>
      </c>
      <c r="I711" s="4">
        <f>((160*(1/10)*H711)+H711*(1/20)*874.5)*2</f>
        <v>3057.92</v>
      </c>
      <c r="J711" s="12">
        <v>8295</v>
      </c>
      <c r="K711" s="12">
        <v>50017</v>
      </c>
      <c r="L711" s="14">
        <f t="shared" si="11"/>
        <v>25.6</v>
      </c>
    </row>
    <row r="712" spans="1:12" ht="19.5" x14ac:dyDescent="0.4">
      <c r="A712" s="1">
        <v>711</v>
      </c>
      <c r="B712" s="1" t="s">
        <v>34</v>
      </c>
      <c r="C712" s="1">
        <v>2023</v>
      </c>
      <c r="D712" t="s">
        <v>16</v>
      </c>
      <c r="E712" s="3">
        <v>217040</v>
      </c>
      <c r="F712" s="3">
        <v>898</v>
      </c>
      <c r="G712" s="13">
        <f>LN(F712/E712)</f>
        <v>-5.4876668790306136</v>
      </c>
      <c r="H712" s="4">
        <v>27.6</v>
      </c>
      <c r="I712" s="4">
        <f>((160*(1/10)*H712)+H712*(1/20)*874.5)*2</f>
        <v>3296.8200000000006</v>
      </c>
      <c r="J712" s="12">
        <v>16187</v>
      </c>
      <c r="K712" s="12">
        <v>63371</v>
      </c>
      <c r="L712" s="14">
        <f t="shared" si="11"/>
        <v>27.6</v>
      </c>
    </row>
    <row r="713" spans="1:12" ht="19.5" x14ac:dyDescent="0.4">
      <c r="A713" s="1">
        <v>712</v>
      </c>
      <c r="B713" s="1" t="s">
        <v>34</v>
      </c>
      <c r="C713" s="1">
        <v>2023</v>
      </c>
      <c r="D713" t="s">
        <v>17</v>
      </c>
      <c r="E713" s="3">
        <v>142625</v>
      </c>
      <c r="F713" s="3">
        <v>1513</v>
      </c>
      <c r="G713" s="13">
        <f>LN(F713/E713)</f>
        <v>-4.5461243733760206</v>
      </c>
      <c r="H713" s="4">
        <v>45.2</v>
      </c>
      <c r="I713" s="4">
        <f>((160*(1/10)*H713)+H713*(1/20)*874.5)*2</f>
        <v>5399.14</v>
      </c>
      <c r="J713" s="12">
        <v>10775</v>
      </c>
      <c r="K713" s="12">
        <v>46523</v>
      </c>
      <c r="L713" s="14">
        <f t="shared" si="11"/>
        <v>45.2</v>
      </c>
    </row>
    <row r="714" spans="1:12" ht="19.5" x14ac:dyDescent="0.4">
      <c r="A714" s="1">
        <v>713</v>
      </c>
      <c r="B714" s="1" t="s">
        <v>34</v>
      </c>
      <c r="C714" s="1">
        <v>2023</v>
      </c>
      <c r="D714" t="s">
        <v>18</v>
      </c>
      <c r="E714" s="3">
        <v>56869</v>
      </c>
      <c r="F714" s="3">
        <v>407</v>
      </c>
      <c r="G714" s="13">
        <f>LN(F714/E714)</f>
        <v>-4.9396924707402254</v>
      </c>
      <c r="H714" s="4">
        <v>40.799999999999997</v>
      </c>
      <c r="I714" s="4">
        <f>((160*(1/10)*H714)+H714*(1/20)*874.5)*2</f>
        <v>4873.5599999999995</v>
      </c>
      <c r="J714" s="12">
        <v>4168</v>
      </c>
      <c r="K714" s="12">
        <v>19403</v>
      </c>
      <c r="L714" s="14">
        <f t="shared" si="11"/>
        <v>40.799999999999997</v>
      </c>
    </row>
    <row r="715" spans="1:12" ht="19.5" x14ac:dyDescent="0.4">
      <c r="A715" s="1">
        <v>714</v>
      </c>
      <c r="B715" s="1" t="s">
        <v>34</v>
      </c>
      <c r="C715" s="1">
        <v>2023</v>
      </c>
      <c r="D715" t="s">
        <v>19</v>
      </c>
      <c r="E715" s="3">
        <v>121056</v>
      </c>
      <c r="F715" s="3">
        <v>4314</v>
      </c>
      <c r="G715" s="13">
        <f>LN(F715/E715)</f>
        <v>-3.3343877004836542</v>
      </c>
      <c r="H715" s="4">
        <v>21.8</v>
      </c>
      <c r="I715" s="4">
        <f>((160*(1/10)*H715)+H715*(1/20)*874.5)*2</f>
        <v>2604.0100000000002</v>
      </c>
      <c r="J715" s="12">
        <v>8520</v>
      </c>
      <c r="K715" s="12">
        <v>38101</v>
      </c>
      <c r="L715" s="14">
        <f t="shared" si="11"/>
        <v>21.8</v>
      </c>
    </row>
    <row r="716" spans="1:12" ht="19.5" x14ac:dyDescent="0.4">
      <c r="A716" s="5">
        <v>715</v>
      </c>
      <c r="B716" s="5" t="s">
        <v>34</v>
      </c>
      <c r="C716" s="5">
        <v>2023</v>
      </c>
      <c r="D716" s="6" t="s">
        <v>20</v>
      </c>
      <c r="E716" s="7">
        <v>58171</v>
      </c>
      <c r="F716" s="7">
        <v>242</v>
      </c>
      <c r="G716" s="15">
        <f>LN(F716/E716)</f>
        <v>-5.4822045015922773</v>
      </c>
      <c r="H716" s="8">
        <v>33</v>
      </c>
      <c r="I716" s="8">
        <f>((160*(1/10)*H716)+H716*(1/20)*874.5)*2</f>
        <v>3941.8500000000004</v>
      </c>
      <c r="J716" s="10">
        <v>3816</v>
      </c>
      <c r="K716" s="10">
        <v>19636</v>
      </c>
      <c r="L716" s="16">
        <f t="shared" si="11"/>
        <v>33</v>
      </c>
    </row>
    <row r="717" spans="1:12" ht="19.5" x14ac:dyDescent="0.4">
      <c r="A717" s="1">
        <v>716</v>
      </c>
      <c r="B717" s="1" t="s">
        <v>34</v>
      </c>
      <c r="C717" s="1">
        <v>2024</v>
      </c>
      <c r="D717" t="s">
        <v>8</v>
      </c>
      <c r="E717" s="3">
        <v>248680</v>
      </c>
      <c r="F717" s="3">
        <v>1150</v>
      </c>
      <c r="G717" s="13">
        <f>LN(F717/E717)</f>
        <v>-5.3764049870259782</v>
      </c>
      <c r="H717" s="4">
        <v>20.399999999999999</v>
      </c>
      <c r="I717" s="4">
        <f>((160*(1/10)*H717)+H717*(1/20)*874.5)*2</f>
        <v>2436.7799999999997</v>
      </c>
      <c r="J717" s="12">
        <v>15767</v>
      </c>
      <c r="K717" s="12">
        <v>67093</v>
      </c>
      <c r="L717" s="14">
        <f t="shared" si="11"/>
        <v>20.399999999999999</v>
      </c>
    </row>
    <row r="718" spans="1:12" ht="19.5" x14ac:dyDescent="0.4">
      <c r="A718" s="1">
        <v>717</v>
      </c>
      <c r="B718" s="1" t="s">
        <v>34</v>
      </c>
      <c r="C718" s="1">
        <v>2024</v>
      </c>
      <c r="D718" t="s">
        <v>9</v>
      </c>
      <c r="E718" s="3">
        <v>289323</v>
      </c>
      <c r="F718" s="3">
        <v>1087</v>
      </c>
      <c r="G718" s="13">
        <f>LN(F718/E718)</f>
        <v>-5.5841221029296833</v>
      </c>
      <c r="H718" s="4">
        <v>20.8</v>
      </c>
      <c r="I718" s="4">
        <f>((160*(1/10)*H718)+H718*(1/20)*874.5)*2</f>
        <v>2484.56</v>
      </c>
      <c r="J718" s="12">
        <v>21442</v>
      </c>
      <c r="K718" s="12">
        <v>81653</v>
      </c>
      <c r="L718" s="14">
        <f t="shared" si="11"/>
        <v>20.8</v>
      </c>
    </row>
    <row r="719" spans="1:12" ht="19.5" x14ac:dyDescent="0.4">
      <c r="A719" s="1">
        <v>718</v>
      </c>
      <c r="B719" s="1" t="s">
        <v>34</v>
      </c>
      <c r="C719" s="1">
        <v>2024</v>
      </c>
      <c r="D719" t="s">
        <v>10</v>
      </c>
      <c r="E719" s="3">
        <v>265379</v>
      </c>
      <c r="F719" s="3">
        <v>4032</v>
      </c>
      <c r="G719" s="13">
        <f>LN(F719/E719)</f>
        <v>-4.1868964621506475</v>
      </c>
      <c r="H719" s="4">
        <v>15.6</v>
      </c>
      <c r="I719" s="4">
        <f>((160*(1/10)*H719)+H719*(1/20)*874.5)*2</f>
        <v>1863.42</v>
      </c>
      <c r="J719" s="12">
        <v>19571</v>
      </c>
      <c r="K719" s="12">
        <v>74654</v>
      </c>
      <c r="L719" s="14">
        <f t="shared" si="11"/>
        <v>15.6</v>
      </c>
    </row>
    <row r="720" spans="1:12" ht="19.5" x14ac:dyDescent="0.4">
      <c r="A720" s="1">
        <v>719</v>
      </c>
      <c r="B720" s="1" t="s">
        <v>34</v>
      </c>
      <c r="C720" s="1">
        <v>2024</v>
      </c>
      <c r="D720" t="s">
        <v>11</v>
      </c>
      <c r="E720" s="3">
        <v>211835</v>
      </c>
      <c r="F720" s="3">
        <v>22581</v>
      </c>
      <c r="G720" s="13">
        <f>LN(F720/E720)</f>
        <v>-2.2386988250305571</v>
      </c>
      <c r="H720" s="4">
        <v>10</v>
      </c>
      <c r="I720" s="4">
        <f>((160*(1/10)*H720)+H720*(1/20)*874.5)*2</f>
        <v>1194.5</v>
      </c>
      <c r="J720" s="12">
        <v>15073</v>
      </c>
      <c r="K720" s="12">
        <v>53700</v>
      </c>
      <c r="L720" s="14">
        <f t="shared" si="11"/>
        <v>10</v>
      </c>
    </row>
    <row r="721" spans="1:12" ht="19.5" x14ac:dyDescent="0.4">
      <c r="A721" s="1">
        <v>720</v>
      </c>
      <c r="B721" s="1" t="s">
        <v>34</v>
      </c>
      <c r="C721" s="1">
        <v>2024</v>
      </c>
      <c r="D721" t="s">
        <v>12</v>
      </c>
      <c r="E721" s="3">
        <v>125083</v>
      </c>
      <c r="F721" s="3">
        <v>5378</v>
      </c>
      <c r="G721" s="13">
        <f>LN(F721/E721)</f>
        <v>-3.1466609591051644</v>
      </c>
      <c r="H721" s="4">
        <v>12.6</v>
      </c>
      <c r="I721" s="4">
        <f>((160*(1/10)*H721)+H721*(1/20)*874.5)*2</f>
        <v>1505.0700000000002</v>
      </c>
      <c r="J721" s="12">
        <v>7751</v>
      </c>
      <c r="K721" s="12">
        <v>40932</v>
      </c>
      <c r="L721" s="14">
        <f t="shared" si="11"/>
        <v>12.6</v>
      </c>
    </row>
    <row r="722" spans="1:12" ht="19.5" x14ac:dyDescent="0.4">
      <c r="A722" s="1">
        <v>721</v>
      </c>
      <c r="B722" s="1" t="s">
        <v>34</v>
      </c>
      <c r="C722" s="1">
        <v>2024</v>
      </c>
      <c r="D722" t="s">
        <v>13</v>
      </c>
      <c r="E722" s="3">
        <v>225298</v>
      </c>
      <c r="F722" s="3">
        <v>3568</v>
      </c>
      <c r="G722" s="13">
        <f>LN(F722/E722)</f>
        <v>-4.1454187556282163</v>
      </c>
      <c r="H722" s="4">
        <v>14.2</v>
      </c>
      <c r="I722" s="4">
        <f>((160*(1/10)*H722)+H722*(1/20)*874.5)*2</f>
        <v>1696.19</v>
      </c>
      <c r="J722" s="12">
        <v>15548</v>
      </c>
      <c r="K722" s="12">
        <v>59284</v>
      </c>
      <c r="L722" s="14">
        <f t="shared" si="11"/>
        <v>14.2</v>
      </c>
    </row>
    <row r="723" spans="1:12" ht="19.5" x14ac:dyDescent="0.4">
      <c r="A723" s="1">
        <v>722</v>
      </c>
      <c r="B723" s="1" t="s">
        <v>34</v>
      </c>
      <c r="C723" s="1">
        <v>2024</v>
      </c>
      <c r="D723" t="s">
        <v>14</v>
      </c>
      <c r="E723" s="3">
        <v>225298</v>
      </c>
      <c r="F723" s="3">
        <v>2541</v>
      </c>
      <c r="G723" s="13">
        <f>LN(F723/E723)</f>
        <v>-4.4848662660079519</v>
      </c>
      <c r="H723" s="4">
        <v>19</v>
      </c>
      <c r="I723" s="4">
        <f>((160*(1/10)*H723)+H723*(1/20)*874.5)*2</f>
        <v>2269.5500000000002</v>
      </c>
      <c r="J723" s="12">
        <v>8519</v>
      </c>
      <c r="K723" s="12">
        <v>35078</v>
      </c>
      <c r="L723" s="14">
        <f t="shared" si="11"/>
        <v>19</v>
      </c>
    </row>
    <row r="724" spans="1:12" ht="19.5" x14ac:dyDescent="0.4">
      <c r="A724" s="1">
        <v>723</v>
      </c>
      <c r="B724" s="1" t="s">
        <v>34</v>
      </c>
      <c r="C724" s="1">
        <v>2024</v>
      </c>
      <c r="D724" t="s">
        <v>15</v>
      </c>
      <c r="E724" s="3">
        <v>135777</v>
      </c>
      <c r="F724" s="3">
        <v>831</v>
      </c>
      <c r="G724" s="13">
        <f>LN(F724/E724)</f>
        <v>-5.0961393181913639</v>
      </c>
      <c r="H724" s="4">
        <v>25.6</v>
      </c>
      <c r="I724" s="4">
        <f>((160*(1/10)*H724)+H724*(1/20)*874.5)*2</f>
        <v>3057.92</v>
      </c>
      <c r="J724" s="12">
        <v>8295</v>
      </c>
      <c r="K724" s="12">
        <v>50017</v>
      </c>
      <c r="L724" s="14">
        <f t="shared" si="11"/>
        <v>25.6</v>
      </c>
    </row>
    <row r="725" spans="1:12" ht="19.5" x14ac:dyDescent="0.4">
      <c r="A725" s="1">
        <v>724</v>
      </c>
      <c r="B725" s="1" t="s">
        <v>34</v>
      </c>
      <c r="C725" s="1">
        <v>2024</v>
      </c>
      <c r="D725" t="s">
        <v>16</v>
      </c>
      <c r="E725" s="3">
        <v>217040</v>
      </c>
      <c r="F725" s="3">
        <v>720</v>
      </c>
      <c r="G725" s="13">
        <f>LN(F725/E725)</f>
        <v>-5.7085857353227123</v>
      </c>
      <c r="H725" s="4">
        <v>27.6</v>
      </c>
      <c r="I725" s="4">
        <f>((160*(1/10)*H725)+H725*(1/20)*874.5)*2</f>
        <v>3296.8200000000006</v>
      </c>
      <c r="J725" s="12">
        <v>16187</v>
      </c>
      <c r="K725" s="12">
        <v>63371</v>
      </c>
      <c r="L725" s="14">
        <f t="shared" si="11"/>
        <v>27.6</v>
      </c>
    </row>
    <row r="726" spans="1:12" ht="19.5" x14ac:dyDescent="0.4">
      <c r="A726" s="1">
        <v>725</v>
      </c>
      <c r="B726" s="1" t="s">
        <v>34</v>
      </c>
      <c r="C726" s="1">
        <v>2024</v>
      </c>
      <c r="D726" t="s">
        <v>17</v>
      </c>
      <c r="E726" s="3">
        <v>142625</v>
      </c>
      <c r="F726" s="3">
        <v>572</v>
      </c>
      <c r="G726" s="13">
        <f>LN(F726/E726)</f>
        <v>-5.5188350957845786</v>
      </c>
      <c r="H726" s="4">
        <v>45.2</v>
      </c>
      <c r="I726" s="4">
        <f>((160*(1/10)*H726)+H726*(1/20)*874.5)*2</f>
        <v>5399.14</v>
      </c>
      <c r="J726" s="12">
        <v>10775</v>
      </c>
      <c r="K726" s="12">
        <v>46523</v>
      </c>
      <c r="L726" s="14">
        <f t="shared" si="11"/>
        <v>45.2</v>
      </c>
    </row>
    <row r="727" spans="1:12" ht="19.5" x14ac:dyDescent="0.4">
      <c r="A727" s="1">
        <v>726</v>
      </c>
      <c r="B727" s="1" t="s">
        <v>34</v>
      </c>
      <c r="C727" s="1">
        <v>2024</v>
      </c>
      <c r="D727" t="s">
        <v>18</v>
      </c>
      <c r="E727" s="3">
        <v>56869</v>
      </c>
      <c r="F727" s="3">
        <v>154</v>
      </c>
      <c r="G727" s="13">
        <f>LN(F727/E727)</f>
        <v>-5.9115530537691914</v>
      </c>
      <c r="H727" s="4">
        <v>40.799999999999997</v>
      </c>
      <c r="I727" s="4">
        <f>((160*(1/10)*H727)+H727*(1/20)*874.5)*2</f>
        <v>4873.5599999999995</v>
      </c>
      <c r="J727" s="12">
        <v>4168</v>
      </c>
      <c r="K727" s="12">
        <v>19403</v>
      </c>
      <c r="L727" s="14">
        <f t="shared" si="11"/>
        <v>40.799999999999997</v>
      </c>
    </row>
    <row r="728" spans="1:12" ht="19.5" x14ac:dyDescent="0.4">
      <c r="A728" s="1">
        <v>727</v>
      </c>
      <c r="B728" s="1" t="s">
        <v>34</v>
      </c>
      <c r="C728" s="1">
        <v>2024</v>
      </c>
      <c r="D728" t="s">
        <v>19</v>
      </c>
      <c r="E728" s="3">
        <v>121056</v>
      </c>
      <c r="F728" s="3">
        <v>2820</v>
      </c>
      <c r="G728" s="13">
        <f>LN(F728/E728)</f>
        <v>-3.7595163635005964</v>
      </c>
      <c r="H728" s="4">
        <v>21.8</v>
      </c>
      <c r="I728" s="4">
        <f>((160*(1/10)*H728)+H728*(1/20)*874.5)*2</f>
        <v>2604.0100000000002</v>
      </c>
      <c r="J728" s="12">
        <v>8520</v>
      </c>
      <c r="K728" s="12">
        <v>38101</v>
      </c>
      <c r="L728" s="14">
        <f t="shared" si="11"/>
        <v>21.8</v>
      </c>
    </row>
    <row r="729" spans="1:12" ht="19.5" x14ac:dyDescent="0.4">
      <c r="A729" s="5">
        <v>728</v>
      </c>
      <c r="B729" s="5" t="s">
        <v>34</v>
      </c>
      <c r="C729" s="5">
        <v>2024</v>
      </c>
      <c r="D729" s="6" t="s">
        <v>20</v>
      </c>
      <c r="E729" s="7">
        <v>58171</v>
      </c>
      <c r="F729" s="7">
        <v>319</v>
      </c>
      <c r="G729" s="15">
        <f>LN(F729/E729)</f>
        <v>-5.2059511249641197</v>
      </c>
      <c r="H729" s="8">
        <v>33</v>
      </c>
      <c r="I729" s="8">
        <f>((160*(1/10)*H729)+H729*(1/20)*874.5)*2</f>
        <v>3941.8500000000004</v>
      </c>
      <c r="J729" s="10">
        <v>3816</v>
      </c>
      <c r="K729" s="10">
        <v>19636</v>
      </c>
      <c r="L729" s="16">
        <f t="shared" si="11"/>
        <v>33</v>
      </c>
    </row>
    <row r="730" spans="1:12" ht="19.5" x14ac:dyDescent="0.4">
      <c r="A730" s="1">
        <v>729</v>
      </c>
      <c r="B730" s="1" t="s">
        <v>35</v>
      </c>
      <c r="C730" s="1">
        <v>2018</v>
      </c>
      <c r="D730" t="s">
        <v>8</v>
      </c>
      <c r="E730" s="3">
        <v>248680</v>
      </c>
      <c r="F730" s="3">
        <v>4840</v>
      </c>
      <c r="G730" s="13">
        <f>LN(F730/E730)</f>
        <v>-3.9392522086725963</v>
      </c>
      <c r="H730" s="4">
        <v>26.2</v>
      </c>
      <c r="I730" s="4">
        <f>((160*(1/10)*H730)+H730*(1/20)*874.5)*2</f>
        <v>3129.59</v>
      </c>
      <c r="J730" s="12">
        <v>15767</v>
      </c>
      <c r="K730" s="12">
        <v>67093</v>
      </c>
      <c r="L730" s="14">
        <f t="shared" si="11"/>
        <v>26.2</v>
      </c>
    </row>
    <row r="731" spans="1:12" ht="19.5" x14ac:dyDescent="0.4">
      <c r="A731" s="1">
        <v>730</v>
      </c>
      <c r="B731" s="1" t="s">
        <v>35</v>
      </c>
      <c r="C731" s="1">
        <v>2018</v>
      </c>
      <c r="D731" t="s">
        <v>9</v>
      </c>
      <c r="E731" s="3">
        <v>289323</v>
      </c>
      <c r="F731" s="3">
        <v>28728</v>
      </c>
      <c r="G731" s="13">
        <f>LN(F731/E731)</f>
        <v>-2.3096714541449743</v>
      </c>
      <c r="H731" s="4">
        <v>21</v>
      </c>
      <c r="I731" s="4">
        <f>((160*(1/10)*H731)+H731*(1/20)*874.5)*2</f>
        <v>2508.4499999999998</v>
      </c>
      <c r="J731" s="12">
        <v>21442</v>
      </c>
      <c r="K731" s="12">
        <v>81653</v>
      </c>
      <c r="L731" s="14">
        <f t="shared" si="11"/>
        <v>21</v>
      </c>
    </row>
    <row r="732" spans="1:12" ht="19.5" x14ac:dyDescent="0.4">
      <c r="A732" s="1">
        <v>731</v>
      </c>
      <c r="B732" s="1" t="s">
        <v>35</v>
      </c>
      <c r="C732" s="1">
        <v>2018</v>
      </c>
      <c r="D732" t="s">
        <v>10</v>
      </c>
      <c r="E732" s="3">
        <v>265379</v>
      </c>
      <c r="F732" s="3">
        <v>3076</v>
      </c>
      <c r="G732" s="13">
        <f>LN(F732/E732)</f>
        <v>-4.4575289412763173</v>
      </c>
      <c r="H732" s="4">
        <v>26.8</v>
      </c>
      <c r="I732" s="4">
        <f>((160*(1/10)*H732)+H732*(1/20)*874.5)*2</f>
        <v>3201.26</v>
      </c>
      <c r="J732" s="12">
        <v>19571</v>
      </c>
      <c r="K732" s="12">
        <v>74654</v>
      </c>
      <c r="L732" s="14">
        <f t="shared" si="11"/>
        <v>26.8</v>
      </c>
    </row>
    <row r="733" spans="1:12" ht="19.5" x14ac:dyDescent="0.4">
      <c r="A733" s="1">
        <v>732</v>
      </c>
      <c r="B733" s="1" t="s">
        <v>35</v>
      </c>
      <c r="C733" s="1">
        <v>2018</v>
      </c>
      <c r="D733" t="s">
        <v>11</v>
      </c>
      <c r="E733" s="3">
        <v>211835</v>
      </c>
      <c r="F733" s="3">
        <v>1640</v>
      </c>
      <c r="G733" s="13">
        <f>LN(F733/E733)</f>
        <v>-4.8611114279149543</v>
      </c>
      <c r="H733" s="4">
        <v>36.200000000000003</v>
      </c>
      <c r="I733" s="4">
        <f>((160*(1/10)*H733)+H733*(1/20)*874.5)*2</f>
        <v>4324.09</v>
      </c>
      <c r="J733" s="12">
        <v>15073</v>
      </c>
      <c r="K733" s="12">
        <v>53700</v>
      </c>
      <c r="L733" s="14">
        <f t="shared" si="11"/>
        <v>36.200000000000003</v>
      </c>
    </row>
    <row r="734" spans="1:12" ht="19.5" x14ac:dyDescent="0.4">
      <c r="A734" s="1">
        <v>733</v>
      </c>
      <c r="B734" s="1" t="s">
        <v>35</v>
      </c>
      <c r="C734" s="1">
        <v>2018</v>
      </c>
      <c r="D734" t="s">
        <v>12</v>
      </c>
      <c r="E734" s="3">
        <v>125083</v>
      </c>
      <c r="F734" s="3">
        <v>342</v>
      </c>
      <c r="G734" s="13">
        <f>LN(F734/E734)</f>
        <v>-5.9019220588713699</v>
      </c>
      <c r="H734" s="4">
        <v>31.2</v>
      </c>
      <c r="I734" s="4">
        <f>((160*(1/10)*H734)+H734*(1/20)*874.5)*2</f>
        <v>3726.84</v>
      </c>
      <c r="J734" s="12">
        <v>7751</v>
      </c>
      <c r="K734" s="12">
        <v>40932</v>
      </c>
      <c r="L734" s="14">
        <f t="shared" ref="L734:L797" si="12">H734</f>
        <v>31.2</v>
      </c>
    </row>
    <row r="735" spans="1:12" ht="19.5" x14ac:dyDescent="0.4">
      <c r="A735" s="1">
        <v>734</v>
      </c>
      <c r="B735" s="1" t="s">
        <v>35</v>
      </c>
      <c r="C735" s="1">
        <v>2018</v>
      </c>
      <c r="D735" t="s">
        <v>13</v>
      </c>
      <c r="E735" s="3">
        <v>225298</v>
      </c>
      <c r="F735" s="3">
        <v>1957</v>
      </c>
      <c r="G735" s="13">
        <f>LN(F735/E735)</f>
        <v>-4.7460112819320397</v>
      </c>
      <c r="H735" s="4">
        <v>37</v>
      </c>
      <c r="I735" s="4">
        <f>((160*(1/10)*H735)+H735*(1/20)*874.5)*2</f>
        <v>4419.6499999999996</v>
      </c>
      <c r="J735" s="12">
        <v>15548</v>
      </c>
      <c r="K735" s="12">
        <v>59284</v>
      </c>
      <c r="L735" s="14">
        <f t="shared" si="12"/>
        <v>37</v>
      </c>
    </row>
    <row r="736" spans="1:12" ht="19.5" x14ac:dyDescent="0.4">
      <c r="A736" s="1">
        <v>735</v>
      </c>
      <c r="B736" s="1" t="s">
        <v>35</v>
      </c>
      <c r="C736" s="1">
        <v>2018</v>
      </c>
      <c r="D736" t="s">
        <v>14</v>
      </c>
      <c r="E736" s="3">
        <v>225298</v>
      </c>
      <c r="F736" s="3">
        <v>989</v>
      </c>
      <c r="G736" s="13">
        <f>LN(F736/E736)</f>
        <v>-5.4284849177054042</v>
      </c>
      <c r="H736" s="4">
        <v>49.4</v>
      </c>
      <c r="I736" s="4">
        <f>((160*(1/10)*H736)+H736*(1/20)*874.5)*2</f>
        <v>5900.8300000000008</v>
      </c>
      <c r="J736" s="12">
        <v>8519</v>
      </c>
      <c r="K736" s="12">
        <v>35078</v>
      </c>
      <c r="L736" s="14">
        <f t="shared" si="12"/>
        <v>49.4</v>
      </c>
    </row>
    <row r="737" spans="1:12" ht="19.5" x14ac:dyDescent="0.4">
      <c r="A737" s="1">
        <v>736</v>
      </c>
      <c r="B737" s="1" t="s">
        <v>35</v>
      </c>
      <c r="C737" s="1">
        <v>2018</v>
      </c>
      <c r="D737" t="s">
        <v>15</v>
      </c>
      <c r="E737" s="3">
        <v>135777</v>
      </c>
      <c r="F737" s="3">
        <v>497</v>
      </c>
      <c r="G737" s="13">
        <f>LN(F737/E737)</f>
        <v>-5.6101790869501835</v>
      </c>
      <c r="H737" s="4">
        <v>42</v>
      </c>
      <c r="I737" s="4">
        <f>((160*(1/10)*H737)+H737*(1/20)*874.5)*2</f>
        <v>5016.8999999999996</v>
      </c>
      <c r="J737" s="12">
        <v>8295</v>
      </c>
      <c r="K737" s="12">
        <v>50017</v>
      </c>
      <c r="L737" s="14">
        <f t="shared" si="12"/>
        <v>42</v>
      </c>
    </row>
    <row r="738" spans="1:12" ht="19.5" x14ac:dyDescent="0.4">
      <c r="A738" s="1">
        <v>737</v>
      </c>
      <c r="B738" s="1" t="s">
        <v>35</v>
      </c>
      <c r="C738" s="1">
        <v>2018</v>
      </c>
      <c r="D738" t="s">
        <v>16</v>
      </c>
      <c r="E738" s="3">
        <v>217040</v>
      </c>
      <c r="F738" s="3">
        <v>6815</v>
      </c>
      <c r="G738" s="13">
        <f>LN(F738/E738)</f>
        <v>-3.4609556032021804</v>
      </c>
      <c r="H738" s="4">
        <v>22</v>
      </c>
      <c r="I738" s="4">
        <f>((160*(1/10)*H738)+H738*(1/20)*874.5)*2</f>
        <v>2627.9</v>
      </c>
      <c r="J738" s="12">
        <v>16187</v>
      </c>
      <c r="K738" s="12">
        <v>63371</v>
      </c>
      <c r="L738" s="14">
        <f t="shared" si="12"/>
        <v>22</v>
      </c>
    </row>
    <row r="739" spans="1:12" ht="19.5" x14ac:dyDescent="0.4">
      <c r="A739" s="1">
        <v>738</v>
      </c>
      <c r="B739" s="1" t="s">
        <v>35</v>
      </c>
      <c r="C739" s="1">
        <v>2018</v>
      </c>
      <c r="D739" t="s">
        <v>17</v>
      </c>
      <c r="E739" s="3">
        <v>142625</v>
      </c>
      <c r="F739" s="3">
        <v>63095</v>
      </c>
      <c r="G739" s="13">
        <f>LN(F739/E739)</f>
        <v>-0.81557728107736582</v>
      </c>
      <c r="H739" s="4">
        <v>7.8</v>
      </c>
      <c r="I739" s="4">
        <f>((160*(1/10)*H739)+H739*(1/20)*874.5)*2</f>
        <v>931.71</v>
      </c>
      <c r="J739" s="12">
        <v>10775</v>
      </c>
      <c r="K739" s="12">
        <v>46523</v>
      </c>
      <c r="L739" s="14">
        <f t="shared" si="12"/>
        <v>7.8</v>
      </c>
    </row>
    <row r="740" spans="1:12" ht="19.5" x14ac:dyDescent="0.4">
      <c r="A740" s="1">
        <v>739</v>
      </c>
      <c r="B740" s="1" t="s">
        <v>35</v>
      </c>
      <c r="C740" s="1">
        <v>2018</v>
      </c>
      <c r="D740" t="s">
        <v>18</v>
      </c>
      <c r="E740" s="3">
        <v>56869</v>
      </c>
      <c r="F740" s="3">
        <v>6519</v>
      </c>
      <c r="G740" s="13">
        <f>LN(F740/E740)</f>
        <v>-2.166029387258281</v>
      </c>
      <c r="H740" s="4">
        <v>12.8</v>
      </c>
      <c r="I740" s="4">
        <f>((160*(1/10)*H740)+H740*(1/20)*874.5)*2</f>
        <v>1528.96</v>
      </c>
      <c r="J740" s="12">
        <v>4168</v>
      </c>
      <c r="K740" s="12">
        <v>19403</v>
      </c>
      <c r="L740" s="14">
        <f t="shared" si="12"/>
        <v>12.8</v>
      </c>
    </row>
    <row r="741" spans="1:12" ht="19.5" x14ac:dyDescent="0.4">
      <c r="A741" s="1">
        <v>740</v>
      </c>
      <c r="B741" s="1" t="s">
        <v>35</v>
      </c>
      <c r="C741" s="1">
        <v>2018</v>
      </c>
      <c r="D741" t="s">
        <v>19</v>
      </c>
      <c r="E741" s="3">
        <v>121056</v>
      </c>
      <c r="F741" s="3">
        <v>1291</v>
      </c>
      <c r="G741" s="13">
        <f>LN(F741/E741)</f>
        <v>-4.5408361365861136</v>
      </c>
      <c r="H741" s="4">
        <v>61</v>
      </c>
      <c r="I741" s="4">
        <f>((160*(1/10)*H741)+H741*(1/20)*874.5)*2</f>
        <v>7286.4500000000007</v>
      </c>
      <c r="J741" s="12">
        <v>8520</v>
      </c>
      <c r="K741" s="12">
        <v>38101</v>
      </c>
      <c r="L741" s="14">
        <f t="shared" si="12"/>
        <v>61</v>
      </c>
    </row>
    <row r="742" spans="1:12" ht="19.5" x14ac:dyDescent="0.4">
      <c r="A742" s="5">
        <v>741</v>
      </c>
      <c r="B742" s="5" t="s">
        <v>35</v>
      </c>
      <c r="C742" s="5">
        <v>2018</v>
      </c>
      <c r="D742" s="6" t="s">
        <v>20</v>
      </c>
      <c r="E742" s="7">
        <v>58171</v>
      </c>
      <c r="F742" s="7">
        <v>146</v>
      </c>
      <c r="G742" s="15">
        <f>LN(F742/E742)</f>
        <v>-5.9875356060406277</v>
      </c>
      <c r="H742" s="8">
        <v>74.2</v>
      </c>
      <c r="I742" s="8">
        <f>((160*(1/10)*H742)+H742*(1/20)*874.5)*2</f>
        <v>8863.19</v>
      </c>
      <c r="J742" s="10">
        <v>3816</v>
      </c>
      <c r="K742" s="10">
        <v>19636</v>
      </c>
      <c r="L742" s="16">
        <f t="shared" si="12"/>
        <v>74.2</v>
      </c>
    </row>
    <row r="743" spans="1:12" ht="19.5" x14ac:dyDescent="0.4">
      <c r="A743" s="1">
        <v>742</v>
      </c>
      <c r="B743" s="1" t="s">
        <v>35</v>
      </c>
      <c r="C743" s="1">
        <v>2019</v>
      </c>
      <c r="D743" t="s">
        <v>8</v>
      </c>
      <c r="E743" s="3">
        <v>248680</v>
      </c>
      <c r="F743" s="3">
        <v>4216</v>
      </c>
      <c r="G743" s="13">
        <f>LN(F743/E743)</f>
        <v>-4.0772801181620757</v>
      </c>
      <c r="H743" s="4">
        <v>26.2</v>
      </c>
      <c r="I743" s="4">
        <f>((160*(1/10)*H743)+H743*(1/20)*874.5)*2</f>
        <v>3129.59</v>
      </c>
      <c r="J743" s="12">
        <v>15767</v>
      </c>
      <c r="K743" s="12">
        <v>67093</v>
      </c>
      <c r="L743" s="14">
        <f t="shared" si="12"/>
        <v>26.2</v>
      </c>
    </row>
    <row r="744" spans="1:12" ht="19.5" x14ac:dyDescent="0.4">
      <c r="A744" s="1">
        <v>743</v>
      </c>
      <c r="B744" s="1" t="s">
        <v>35</v>
      </c>
      <c r="C744" s="1">
        <v>2019</v>
      </c>
      <c r="D744" t="s">
        <v>9</v>
      </c>
      <c r="E744" s="3">
        <v>289323</v>
      </c>
      <c r="F744" s="3">
        <v>29794</v>
      </c>
      <c r="G744" s="13">
        <f>LN(F744/E744)</f>
        <v>-2.2732366801113546</v>
      </c>
      <c r="H744" s="4">
        <v>21</v>
      </c>
      <c r="I744" s="4">
        <f>((160*(1/10)*H744)+H744*(1/20)*874.5)*2</f>
        <v>2508.4499999999998</v>
      </c>
      <c r="J744" s="12">
        <v>21442</v>
      </c>
      <c r="K744" s="12">
        <v>81653</v>
      </c>
      <c r="L744" s="14">
        <f t="shared" si="12"/>
        <v>21</v>
      </c>
    </row>
    <row r="745" spans="1:12" ht="19.5" x14ac:dyDescent="0.4">
      <c r="A745" s="1">
        <v>744</v>
      </c>
      <c r="B745" s="1" t="s">
        <v>35</v>
      </c>
      <c r="C745" s="1">
        <v>2019</v>
      </c>
      <c r="D745" t="s">
        <v>10</v>
      </c>
      <c r="E745" s="3">
        <v>265379</v>
      </c>
      <c r="F745" s="3">
        <v>5743</v>
      </c>
      <c r="G745" s="13">
        <f>LN(F745/E745)</f>
        <v>-3.8331772710375556</v>
      </c>
      <c r="H745" s="4">
        <v>26.8</v>
      </c>
      <c r="I745" s="4">
        <f>((160*(1/10)*H745)+H745*(1/20)*874.5)*2</f>
        <v>3201.26</v>
      </c>
      <c r="J745" s="12">
        <v>19571</v>
      </c>
      <c r="K745" s="12">
        <v>74654</v>
      </c>
      <c r="L745" s="14">
        <f t="shared" si="12"/>
        <v>26.8</v>
      </c>
    </row>
    <row r="746" spans="1:12" ht="19.5" x14ac:dyDescent="0.4">
      <c r="A746" s="1">
        <v>745</v>
      </c>
      <c r="B746" s="1" t="s">
        <v>35</v>
      </c>
      <c r="C746" s="1">
        <v>2019</v>
      </c>
      <c r="D746" t="s">
        <v>11</v>
      </c>
      <c r="E746" s="3">
        <v>211835</v>
      </c>
      <c r="F746" s="3">
        <v>1569</v>
      </c>
      <c r="G746" s="13">
        <f>LN(F746/E746)</f>
        <v>-4.9053691960001657</v>
      </c>
      <c r="H746" s="4">
        <v>36.200000000000003</v>
      </c>
      <c r="I746" s="4">
        <f>((160*(1/10)*H746)+H746*(1/20)*874.5)*2</f>
        <v>4324.09</v>
      </c>
      <c r="J746" s="12">
        <v>15073</v>
      </c>
      <c r="K746" s="12">
        <v>53700</v>
      </c>
      <c r="L746" s="14">
        <f t="shared" si="12"/>
        <v>36.200000000000003</v>
      </c>
    </row>
    <row r="747" spans="1:12" ht="19.5" x14ac:dyDescent="0.4">
      <c r="A747" s="1">
        <v>746</v>
      </c>
      <c r="B747" s="1" t="s">
        <v>35</v>
      </c>
      <c r="C747" s="1">
        <v>2019</v>
      </c>
      <c r="D747" t="s">
        <v>12</v>
      </c>
      <c r="E747" s="3">
        <v>125083</v>
      </c>
      <c r="F747" s="3">
        <v>1227</v>
      </c>
      <c r="G747" s="13">
        <f>LN(F747/E747)</f>
        <v>-4.6244053512230634</v>
      </c>
      <c r="H747" s="4">
        <v>31.2</v>
      </c>
      <c r="I747" s="4">
        <f>((160*(1/10)*H747)+H747*(1/20)*874.5)*2</f>
        <v>3726.84</v>
      </c>
      <c r="J747" s="12">
        <v>7751</v>
      </c>
      <c r="K747" s="12">
        <v>40932</v>
      </c>
      <c r="L747" s="14">
        <f t="shared" si="12"/>
        <v>31.2</v>
      </c>
    </row>
    <row r="748" spans="1:12" ht="19.5" x14ac:dyDescent="0.4">
      <c r="A748" s="1">
        <v>747</v>
      </c>
      <c r="B748" s="1" t="s">
        <v>35</v>
      </c>
      <c r="C748" s="1">
        <v>2019</v>
      </c>
      <c r="D748" t="s">
        <v>13</v>
      </c>
      <c r="E748" s="3">
        <v>225298</v>
      </c>
      <c r="F748" s="3">
        <v>1707</v>
      </c>
      <c r="G748" s="13">
        <f>LN(F748/E748)</f>
        <v>-4.8826865265336759</v>
      </c>
      <c r="H748" s="4">
        <v>37</v>
      </c>
      <c r="I748" s="4">
        <f>((160*(1/10)*H748)+H748*(1/20)*874.5)*2</f>
        <v>4419.6499999999996</v>
      </c>
      <c r="J748" s="12">
        <v>15548</v>
      </c>
      <c r="K748" s="12">
        <v>59284</v>
      </c>
      <c r="L748" s="14">
        <f t="shared" si="12"/>
        <v>37</v>
      </c>
    </row>
    <row r="749" spans="1:12" ht="19.5" x14ac:dyDescent="0.4">
      <c r="A749" s="1">
        <v>748</v>
      </c>
      <c r="B749" s="1" t="s">
        <v>35</v>
      </c>
      <c r="C749" s="1">
        <v>2019</v>
      </c>
      <c r="D749" t="s">
        <v>14</v>
      </c>
      <c r="E749" s="3">
        <v>225298</v>
      </c>
      <c r="F749" s="3">
        <v>1520</v>
      </c>
      <c r="G749" s="13">
        <f>LN(F749/E749)</f>
        <v>-4.9987136354877943</v>
      </c>
      <c r="H749" s="4">
        <v>49.4</v>
      </c>
      <c r="I749" s="4">
        <f>((160*(1/10)*H749)+H749*(1/20)*874.5)*2</f>
        <v>5900.8300000000008</v>
      </c>
      <c r="J749" s="12">
        <v>8519</v>
      </c>
      <c r="K749" s="12">
        <v>35078</v>
      </c>
      <c r="L749" s="14">
        <f t="shared" si="12"/>
        <v>49.4</v>
      </c>
    </row>
    <row r="750" spans="1:12" ht="19.5" x14ac:dyDescent="0.4">
      <c r="A750" s="1">
        <v>749</v>
      </c>
      <c r="B750" s="1" t="s">
        <v>35</v>
      </c>
      <c r="C750" s="1">
        <v>2019</v>
      </c>
      <c r="D750" t="s">
        <v>15</v>
      </c>
      <c r="E750" s="3">
        <v>135777</v>
      </c>
      <c r="F750" s="3">
        <v>1265</v>
      </c>
      <c r="G750" s="13">
        <f>LN(F750/E750)</f>
        <v>-4.6759417118851916</v>
      </c>
      <c r="H750" s="4">
        <v>42</v>
      </c>
      <c r="I750" s="4">
        <f>((160*(1/10)*H750)+H750*(1/20)*874.5)*2</f>
        <v>5016.8999999999996</v>
      </c>
      <c r="J750" s="12">
        <v>8295</v>
      </c>
      <c r="K750" s="12">
        <v>50017</v>
      </c>
      <c r="L750" s="14">
        <f t="shared" si="12"/>
        <v>42</v>
      </c>
    </row>
    <row r="751" spans="1:12" ht="19.5" x14ac:dyDescent="0.4">
      <c r="A751" s="1">
        <v>750</v>
      </c>
      <c r="B751" s="1" t="s">
        <v>35</v>
      </c>
      <c r="C751" s="1">
        <v>2019</v>
      </c>
      <c r="D751" t="s">
        <v>16</v>
      </c>
      <c r="E751" s="3">
        <v>217040</v>
      </c>
      <c r="F751" s="3">
        <v>8689</v>
      </c>
      <c r="G751" s="13">
        <f>LN(F751/E751)</f>
        <v>-3.2180238104936074</v>
      </c>
      <c r="H751" s="4">
        <v>22</v>
      </c>
      <c r="I751" s="4">
        <f>((160*(1/10)*H751)+H751*(1/20)*874.5)*2</f>
        <v>2627.9</v>
      </c>
      <c r="J751" s="12">
        <v>16187</v>
      </c>
      <c r="K751" s="12">
        <v>63371</v>
      </c>
      <c r="L751" s="14">
        <f t="shared" si="12"/>
        <v>22</v>
      </c>
    </row>
    <row r="752" spans="1:12" ht="19.5" x14ac:dyDescent="0.4">
      <c r="A752" s="1">
        <v>751</v>
      </c>
      <c r="B752" s="1" t="s">
        <v>35</v>
      </c>
      <c r="C752" s="1">
        <v>2019</v>
      </c>
      <c r="D752" t="s">
        <v>17</v>
      </c>
      <c r="E752" s="3">
        <v>142625</v>
      </c>
      <c r="F752" s="3">
        <v>40948</v>
      </c>
      <c r="G752" s="13">
        <f>LN(F752/E752)</f>
        <v>-1.2479158391247154</v>
      </c>
      <c r="H752" s="4">
        <v>7.8</v>
      </c>
      <c r="I752" s="4">
        <f>((160*(1/10)*H752)+H752*(1/20)*874.5)*2</f>
        <v>931.71</v>
      </c>
      <c r="J752" s="12">
        <v>10775</v>
      </c>
      <c r="K752" s="12">
        <v>46523</v>
      </c>
      <c r="L752" s="14">
        <f t="shared" si="12"/>
        <v>7.8</v>
      </c>
    </row>
    <row r="753" spans="1:12" ht="19.5" x14ac:dyDescent="0.4">
      <c r="A753" s="1">
        <v>752</v>
      </c>
      <c r="B753" s="1" t="s">
        <v>35</v>
      </c>
      <c r="C753" s="1">
        <v>2019</v>
      </c>
      <c r="D753" t="s">
        <v>18</v>
      </c>
      <c r="E753" s="3">
        <v>56869</v>
      </c>
      <c r="F753" s="3">
        <v>12776</v>
      </c>
      <c r="G753" s="13">
        <f>LN(F753/E753)</f>
        <v>-1.493181966287972</v>
      </c>
      <c r="H753" s="4">
        <v>12.8</v>
      </c>
      <c r="I753" s="4">
        <f>((160*(1/10)*H753)+H753*(1/20)*874.5)*2</f>
        <v>1528.96</v>
      </c>
      <c r="J753" s="12">
        <v>4168</v>
      </c>
      <c r="K753" s="12">
        <v>19403</v>
      </c>
      <c r="L753" s="14">
        <f t="shared" si="12"/>
        <v>12.8</v>
      </c>
    </row>
    <row r="754" spans="1:12" ht="19.5" x14ac:dyDescent="0.4">
      <c r="A754" s="1">
        <v>753</v>
      </c>
      <c r="B754" s="1" t="s">
        <v>35</v>
      </c>
      <c r="C754" s="1">
        <v>2019</v>
      </c>
      <c r="D754" t="s">
        <v>19</v>
      </c>
      <c r="E754" s="3">
        <v>121056</v>
      </c>
      <c r="F754" s="3">
        <v>369</v>
      </c>
      <c r="G754" s="13">
        <f>LN(F754/E754)</f>
        <v>-5.793211883392229</v>
      </c>
      <c r="H754" s="4">
        <v>61</v>
      </c>
      <c r="I754" s="4">
        <f>((160*(1/10)*H754)+H754*(1/20)*874.5)*2</f>
        <v>7286.4500000000007</v>
      </c>
      <c r="J754" s="12">
        <v>8520</v>
      </c>
      <c r="K754" s="12">
        <v>38101</v>
      </c>
      <c r="L754" s="14">
        <f t="shared" si="12"/>
        <v>61</v>
      </c>
    </row>
    <row r="755" spans="1:12" ht="19.5" x14ac:dyDescent="0.4">
      <c r="A755" s="5">
        <v>754</v>
      </c>
      <c r="B755" s="5" t="s">
        <v>35</v>
      </c>
      <c r="C755" s="5">
        <v>2019</v>
      </c>
      <c r="D755" s="6" t="s">
        <v>20</v>
      </c>
      <c r="E755" s="7">
        <v>58171</v>
      </c>
      <c r="F755" s="7">
        <v>729</v>
      </c>
      <c r="G755" s="15">
        <f>LN(F755/E755)</f>
        <v>-4.3794684957403058</v>
      </c>
      <c r="H755" s="8">
        <v>74.2</v>
      </c>
      <c r="I755" s="8">
        <f>((160*(1/10)*H755)+H755*(1/20)*874.5)*2</f>
        <v>8863.19</v>
      </c>
      <c r="J755" s="10">
        <v>3816</v>
      </c>
      <c r="K755" s="10">
        <v>19636</v>
      </c>
      <c r="L755" s="16">
        <f t="shared" si="12"/>
        <v>74.2</v>
      </c>
    </row>
    <row r="756" spans="1:12" ht="19.5" x14ac:dyDescent="0.4">
      <c r="A756" s="1">
        <v>755</v>
      </c>
      <c r="B756" s="1" t="s">
        <v>35</v>
      </c>
      <c r="C756" s="1">
        <v>2023</v>
      </c>
      <c r="D756" t="s">
        <v>8</v>
      </c>
      <c r="E756" s="3">
        <v>248680</v>
      </c>
      <c r="F756" s="3">
        <v>2632</v>
      </c>
      <c r="G756" s="13">
        <f>LN(F756/E756)</f>
        <v>-4.5484229159380662</v>
      </c>
      <c r="H756" s="4">
        <v>26.2</v>
      </c>
      <c r="I756" s="4">
        <f>((160*(1/10)*H756)+H756*(1/20)*874.5)*2</f>
        <v>3129.59</v>
      </c>
      <c r="J756" s="12">
        <v>15767</v>
      </c>
      <c r="K756" s="12">
        <v>67093</v>
      </c>
      <c r="L756" s="14">
        <f t="shared" si="12"/>
        <v>26.2</v>
      </c>
    </row>
    <row r="757" spans="1:12" ht="19.5" x14ac:dyDescent="0.4">
      <c r="A757" s="1">
        <v>756</v>
      </c>
      <c r="B757" s="1" t="s">
        <v>35</v>
      </c>
      <c r="C757" s="1">
        <v>2023</v>
      </c>
      <c r="D757" t="s">
        <v>9</v>
      </c>
      <c r="E757" s="3">
        <v>289323</v>
      </c>
      <c r="F757" s="3">
        <v>17973</v>
      </c>
      <c r="G757" s="13">
        <f>LN(F757/E757)</f>
        <v>-2.7786730792988581</v>
      </c>
      <c r="H757" s="4">
        <v>21</v>
      </c>
      <c r="I757" s="4">
        <f>((160*(1/10)*H757)+H757*(1/20)*874.5)*2</f>
        <v>2508.4499999999998</v>
      </c>
      <c r="J757" s="12">
        <v>21442</v>
      </c>
      <c r="K757" s="12">
        <v>81653</v>
      </c>
      <c r="L757" s="14">
        <f t="shared" si="12"/>
        <v>21</v>
      </c>
    </row>
    <row r="758" spans="1:12" ht="19.5" x14ac:dyDescent="0.4">
      <c r="A758" s="1">
        <v>757</v>
      </c>
      <c r="B758" s="1" t="s">
        <v>35</v>
      </c>
      <c r="C758" s="1">
        <v>2023</v>
      </c>
      <c r="D758" t="s">
        <v>10</v>
      </c>
      <c r="E758" s="3">
        <v>265379</v>
      </c>
      <c r="F758" s="3">
        <v>3388</v>
      </c>
      <c r="G758" s="13">
        <f>LN(F758/E758)</f>
        <v>-4.3609192161299069</v>
      </c>
      <c r="H758" s="4">
        <v>26.8</v>
      </c>
      <c r="I758" s="4">
        <f>((160*(1/10)*H758)+H758*(1/20)*874.5)*2</f>
        <v>3201.26</v>
      </c>
      <c r="J758" s="12">
        <v>19571</v>
      </c>
      <c r="K758" s="12">
        <v>74654</v>
      </c>
      <c r="L758" s="14">
        <f t="shared" si="12"/>
        <v>26.8</v>
      </c>
    </row>
    <row r="759" spans="1:12" ht="19.5" x14ac:dyDescent="0.4">
      <c r="A759" s="1">
        <v>758</v>
      </c>
      <c r="B759" s="1" t="s">
        <v>35</v>
      </c>
      <c r="C759" s="1">
        <v>2023</v>
      </c>
      <c r="D759" t="s">
        <v>11</v>
      </c>
      <c r="E759" s="3">
        <v>211835</v>
      </c>
      <c r="F759" s="3">
        <v>1398</v>
      </c>
      <c r="G759" s="13">
        <f>LN(F759/E759)</f>
        <v>-5.0207650259394434</v>
      </c>
      <c r="H759" s="4">
        <v>36.200000000000003</v>
      </c>
      <c r="I759" s="4">
        <f>((160*(1/10)*H759)+H759*(1/20)*874.5)*2</f>
        <v>4324.09</v>
      </c>
      <c r="J759" s="12">
        <v>15073</v>
      </c>
      <c r="K759" s="12">
        <v>53700</v>
      </c>
      <c r="L759" s="14">
        <f t="shared" si="12"/>
        <v>36.200000000000003</v>
      </c>
    </row>
    <row r="760" spans="1:12" ht="19.5" x14ac:dyDescent="0.4">
      <c r="A760" s="1">
        <v>759</v>
      </c>
      <c r="B760" s="1" t="s">
        <v>35</v>
      </c>
      <c r="C760" s="1">
        <v>2023</v>
      </c>
      <c r="D760" t="s">
        <v>12</v>
      </c>
      <c r="E760" s="3">
        <v>125083</v>
      </c>
      <c r="F760" s="3">
        <v>745</v>
      </c>
      <c r="G760" s="13">
        <f>LN(F760/E760)</f>
        <v>-5.123348577554415</v>
      </c>
      <c r="H760" s="4">
        <v>31.2</v>
      </c>
      <c r="I760" s="4">
        <f>((160*(1/10)*H760)+H760*(1/20)*874.5)*2</f>
        <v>3726.84</v>
      </c>
      <c r="J760" s="12">
        <v>7751</v>
      </c>
      <c r="K760" s="12">
        <v>40932</v>
      </c>
      <c r="L760" s="14">
        <f t="shared" si="12"/>
        <v>31.2</v>
      </c>
    </row>
    <row r="761" spans="1:12" ht="19.5" x14ac:dyDescent="0.4">
      <c r="A761" s="1">
        <v>760</v>
      </c>
      <c r="B761" s="1" t="s">
        <v>35</v>
      </c>
      <c r="C761" s="1">
        <v>2023</v>
      </c>
      <c r="D761" t="s">
        <v>13</v>
      </c>
      <c r="E761" s="3">
        <v>225298</v>
      </c>
      <c r="F761" s="3">
        <v>1650</v>
      </c>
      <c r="G761" s="13">
        <f>LN(F761/E761)</f>
        <v>-4.9166486824334896</v>
      </c>
      <c r="H761" s="4">
        <v>37</v>
      </c>
      <c r="I761" s="4">
        <f>((160*(1/10)*H761)+H761*(1/20)*874.5)*2</f>
        <v>4419.6499999999996</v>
      </c>
      <c r="J761" s="12">
        <v>15548</v>
      </c>
      <c r="K761" s="12">
        <v>59284</v>
      </c>
      <c r="L761" s="14">
        <f t="shared" si="12"/>
        <v>37</v>
      </c>
    </row>
    <row r="762" spans="1:12" ht="19.5" x14ac:dyDescent="0.4">
      <c r="A762" s="1">
        <v>761</v>
      </c>
      <c r="B762" s="1" t="s">
        <v>35</v>
      </c>
      <c r="C762" s="1">
        <v>2023</v>
      </c>
      <c r="D762" t="s">
        <v>14</v>
      </c>
      <c r="E762" s="3">
        <v>225298</v>
      </c>
      <c r="F762" s="3">
        <v>570</v>
      </c>
      <c r="G762" s="13">
        <f>LN(F762/E762)</f>
        <v>-5.9795428884995205</v>
      </c>
      <c r="H762" s="4">
        <v>49.4</v>
      </c>
      <c r="I762" s="4">
        <f>((160*(1/10)*H762)+H762*(1/20)*874.5)*2</f>
        <v>5900.8300000000008</v>
      </c>
      <c r="J762" s="12">
        <v>8519</v>
      </c>
      <c r="K762" s="12">
        <v>35078</v>
      </c>
      <c r="L762" s="14">
        <f t="shared" si="12"/>
        <v>49.4</v>
      </c>
    </row>
    <row r="763" spans="1:12" ht="19.5" x14ac:dyDescent="0.4">
      <c r="A763" s="1">
        <v>762</v>
      </c>
      <c r="B763" s="1" t="s">
        <v>35</v>
      </c>
      <c r="C763" s="1">
        <v>2023</v>
      </c>
      <c r="D763" t="s">
        <v>15</v>
      </c>
      <c r="E763" s="3">
        <v>135777</v>
      </c>
      <c r="F763" s="3">
        <v>1326</v>
      </c>
      <c r="G763" s="13">
        <f>LN(F763/E763)</f>
        <v>-4.6288469423010046</v>
      </c>
      <c r="H763" s="4">
        <v>42</v>
      </c>
      <c r="I763" s="4">
        <f>((160*(1/10)*H763)+H763*(1/20)*874.5)*2</f>
        <v>5016.8999999999996</v>
      </c>
      <c r="J763" s="12">
        <v>8295</v>
      </c>
      <c r="K763" s="12">
        <v>50017</v>
      </c>
      <c r="L763" s="14">
        <f t="shared" si="12"/>
        <v>42</v>
      </c>
    </row>
    <row r="764" spans="1:12" ht="19.5" x14ac:dyDescent="0.4">
      <c r="A764" s="1">
        <v>763</v>
      </c>
      <c r="B764" s="1" t="s">
        <v>35</v>
      </c>
      <c r="C764" s="1">
        <v>2023</v>
      </c>
      <c r="D764" t="s">
        <v>16</v>
      </c>
      <c r="E764" s="3">
        <v>217040</v>
      </c>
      <c r="F764" s="3">
        <v>12614</v>
      </c>
      <c r="G764" s="13">
        <f>LN(F764/E764)</f>
        <v>-2.845274360109217</v>
      </c>
      <c r="H764" s="4">
        <v>22</v>
      </c>
      <c r="I764" s="4">
        <f>((160*(1/10)*H764)+H764*(1/20)*874.5)*2</f>
        <v>2627.9</v>
      </c>
      <c r="J764" s="12">
        <v>16187</v>
      </c>
      <c r="K764" s="12">
        <v>63371</v>
      </c>
      <c r="L764" s="14">
        <f t="shared" si="12"/>
        <v>22</v>
      </c>
    </row>
    <row r="765" spans="1:12" ht="19.5" x14ac:dyDescent="0.4">
      <c r="A765" s="1">
        <v>764</v>
      </c>
      <c r="B765" s="1" t="s">
        <v>35</v>
      </c>
      <c r="C765" s="1">
        <v>2023</v>
      </c>
      <c r="D765" t="s">
        <v>17</v>
      </c>
      <c r="E765" s="3">
        <v>142625</v>
      </c>
      <c r="F765" s="3">
        <v>47513</v>
      </c>
      <c r="G765" s="13">
        <f>LN(F765/E765)</f>
        <v>-1.0992154503758096</v>
      </c>
      <c r="H765" s="4">
        <v>7.8</v>
      </c>
      <c r="I765" s="4">
        <f>((160*(1/10)*H765)+H765*(1/20)*874.5)*2</f>
        <v>931.71</v>
      </c>
      <c r="J765" s="12">
        <v>10775</v>
      </c>
      <c r="K765" s="12">
        <v>46523</v>
      </c>
      <c r="L765" s="14">
        <f t="shared" si="12"/>
        <v>7.8</v>
      </c>
    </row>
    <row r="766" spans="1:12" ht="19.5" x14ac:dyDescent="0.4">
      <c r="A766" s="1">
        <v>765</v>
      </c>
      <c r="B766" s="1" t="s">
        <v>35</v>
      </c>
      <c r="C766" s="1">
        <v>2023</v>
      </c>
      <c r="D766" t="s">
        <v>18</v>
      </c>
      <c r="E766" s="3">
        <v>56869</v>
      </c>
      <c r="F766" s="3">
        <v>14613</v>
      </c>
      <c r="G766" s="13">
        <f>LN(F766/E766)</f>
        <v>-1.358838833708168</v>
      </c>
      <c r="H766" s="4">
        <v>12.8</v>
      </c>
      <c r="I766" s="4">
        <f>((160*(1/10)*H766)+H766*(1/20)*874.5)*2</f>
        <v>1528.96</v>
      </c>
      <c r="J766" s="12">
        <v>4168</v>
      </c>
      <c r="K766" s="12">
        <v>19403</v>
      </c>
      <c r="L766" s="14">
        <f t="shared" si="12"/>
        <v>12.8</v>
      </c>
    </row>
    <row r="767" spans="1:12" ht="19.5" x14ac:dyDescent="0.4">
      <c r="A767" s="1">
        <v>766</v>
      </c>
      <c r="B767" s="1" t="s">
        <v>35</v>
      </c>
      <c r="C767" s="1">
        <v>2023</v>
      </c>
      <c r="D767" t="s">
        <v>19</v>
      </c>
      <c r="E767" s="3">
        <v>121056</v>
      </c>
      <c r="F767" s="3">
        <v>746</v>
      </c>
      <c r="G767" s="13">
        <f>LN(F767/E767)</f>
        <v>-5.0892829272289948</v>
      </c>
      <c r="H767" s="4">
        <v>61</v>
      </c>
      <c r="I767" s="4">
        <f>((160*(1/10)*H767)+H767*(1/20)*874.5)*2</f>
        <v>7286.4500000000007</v>
      </c>
      <c r="J767" s="12">
        <v>8520</v>
      </c>
      <c r="K767" s="12">
        <v>38101</v>
      </c>
      <c r="L767" s="14">
        <f t="shared" si="12"/>
        <v>61</v>
      </c>
    </row>
    <row r="768" spans="1:12" ht="19.5" x14ac:dyDescent="0.4">
      <c r="A768" s="5">
        <v>767</v>
      </c>
      <c r="B768" s="5" t="s">
        <v>35</v>
      </c>
      <c r="C768" s="5">
        <v>2023</v>
      </c>
      <c r="D768" s="6" t="s">
        <v>20</v>
      </c>
      <c r="E768" s="7">
        <v>58171</v>
      </c>
      <c r="F768" s="7">
        <v>142</v>
      </c>
      <c r="G768" s="15">
        <f>LN(F768/E768)</f>
        <v>-6.0153151701477032</v>
      </c>
      <c r="H768" s="8">
        <v>74.2</v>
      </c>
      <c r="I768" s="8">
        <f>((160*(1/10)*H768)+H768*(1/20)*874.5)*2</f>
        <v>8863.19</v>
      </c>
      <c r="J768" s="10">
        <v>3816</v>
      </c>
      <c r="K768" s="10">
        <v>19636</v>
      </c>
      <c r="L768" s="16">
        <f t="shared" si="12"/>
        <v>74.2</v>
      </c>
    </row>
    <row r="769" spans="1:12" ht="19.5" x14ac:dyDescent="0.4">
      <c r="A769" s="1">
        <v>768</v>
      </c>
      <c r="B769" s="1" t="s">
        <v>35</v>
      </c>
      <c r="C769" s="1">
        <v>2024</v>
      </c>
      <c r="D769" t="s">
        <v>8</v>
      </c>
      <c r="E769" s="3">
        <v>248680</v>
      </c>
      <c r="F769" s="3">
        <v>5226</v>
      </c>
      <c r="G769" s="13">
        <f>LN(F769/E769)</f>
        <v>-3.862520762302716</v>
      </c>
      <c r="H769" s="4">
        <v>26.2</v>
      </c>
      <c r="I769" s="4">
        <f>((160*(1/10)*H769)+H769*(1/20)*874.5)*2</f>
        <v>3129.59</v>
      </c>
      <c r="J769" s="12">
        <v>15767</v>
      </c>
      <c r="K769" s="12">
        <v>67093</v>
      </c>
      <c r="L769" s="14">
        <f t="shared" si="12"/>
        <v>26.2</v>
      </c>
    </row>
    <row r="770" spans="1:12" ht="19.5" x14ac:dyDescent="0.4">
      <c r="A770" s="1">
        <v>769</v>
      </c>
      <c r="B770" s="1" t="s">
        <v>35</v>
      </c>
      <c r="C770" s="1">
        <v>2024</v>
      </c>
      <c r="D770" t="s">
        <v>9</v>
      </c>
      <c r="E770" s="3">
        <v>289323</v>
      </c>
      <c r="F770" s="3">
        <v>19363</v>
      </c>
      <c r="G770" s="13">
        <f>LN(F770/E770)</f>
        <v>-2.7041796825474949</v>
      </c>
      <c r="H770" s="4">
        <v>21</v>
      </c>
      <c r="I770" s="4">
        <f>((160*(1/10)*H770)+H770*(1/20)*874.5)*2</f>
        <v>2508.4499999999998</v>
      </c>
      <c r="J770" s="12">
        <v>21442</v>
      </c>
      <c r="K770" s="12">
        <v>81653</v>
      </c>
      <c r="L770" s="14">
        <f t="shared" si="12"/>
        <v>21</v>
      </c>
    </row>
    <row r="771" spans="1:12" ht="19.5" x14ac:dyDescent="0.4">
      <c r="A771" s="1">
        <v>770</v>
      </c>
      <c r="B771" s="1" t="s">
        <v>35</v>
      </c>
      <c r="C771" s="1">
        <v>2024</v>
      </c>
      <c r="D771" t="s">
        <v>10</v>
      </c>
      <c r="E771" s="3">
        <v>265379</v>
      </c>
      <c r="F771" s="3">
        <v>3559</v>
      </c>
      <c r="G771" s="13">
        <f>LN(F771/E771)</f>
        <v>-4.3116793863916598</v>
      </c>
      <c r="H771" s="4">
        <v>26.8</v>
      </c>
      <c r="I771" s="4">
        <f>((160*(1/10)*H771)+H771*(1/20)*874.5)*2</f>
        <v>3201.26</v>
      </c>
      <c r="J771" s="12">
        <v>19571</v>
      </c>
      <c r="K771" s="12">
        <v>74654</v>
      </c>
      <c r="L771" s="14">
        <f t="shared" si="12"/>
        <v>26.8</v>
      </c>
    </row>
    <row r="772" spans="1:12" ht="19.5" x14ac:dyDescent="0.4">
      <c r="A772" s="1">
        <v>771</v>
      </c>
      <c r="B772" s="1" t="s">
        <v>35</v>
      </c>
      <c r="C772" s="1">
        <v>2024</v>
      </c>
      <c r="D772" t="s">
        <v>11</v>
      </c>
      <c r="E772" s="3">
        <v>211835</v>
      </c>
      <c r="F772" s="3">
        <v>1999</v>
      </c>
      <c r="G772" s="13">
        <f>LN(F772/E772)</f>
        <v>-4.6631606142327984</v>
      </c>
      <c r="H772" s="4">
        <v>36.200000000000003</v>
      </c>
      <c r="I772" s="4">
        <f>((160*(1/10)*H772)+H772*(1/20)*874.5)*2</f>
        <v>4324.09</v>
      </c>
      <c r="J772" s="12">
        <v>15073</v>
      </c>
      <c r="K772" s="12">
        <v>53700</v>
      </c>
      <c r="L772" s="14">
        <f t="shared" si="12"/>
        <v>36.200000000000003</v>
      </c>
    </row>
    <row r="773" spans="1:12" ht="19.5" x14ac:dyDescent="0.4">
      <c r="A773" s="1">
        <v>772</v>
      </c>
      <c r="B773" s="1" t="s">
        <v>35</v>
      </c>
      <c r="C773" s="1">
        <v>2024</v>
      </c>
      <c r="D773" t="s">
        <v>12</v>
      </c>
      <c r="E773" s="3">
        <v>125083</v>
      </c>
      <c r="F773" s="3">
        <v>622</v>
      </c>
      <c r="G773" s="13">
        <f>LN(F773/E773)</f>
        <v>-5.3037927031947953</v>
      </c>
      <c r="H773" s="4">
        <v>31.2</v>
      </c>
      <c r="I773" s="4">
        <f>((160*(1/10)*H773)+H773*(1/20)*874.5)*2</f>
        <v>3726.84</v>
      </c>
      <c r="J773" s="12">
        <v>7751</v>
      </c>
      <c r="K773" s="12">
        <v>40932</v>
      </c>
      <c r="L773" s="14">
        <f t="shared" si="12"/>
        <v>31.2</v>
      </c>
    </row>
    <row r="774" spans="1:12" ht="19.5" x14ac:dyDescent="0.4">
      <c r="A774" s="1">
        <v>773</v>
      </c>
      <c r="B774" s="1" t="s">
        <v>35</v>
      </c>
      <c r="C774" s="1">
        <v>2024</v>
      </c>
      <c r="D774" t="s">
        <v>13</v>
      </c>
      <c r="E774" s="3">
        <v>225298</v>
      </c>
      <c r="F774" s="3">
        <v>1694</v>
      </c>
      <c r="G774" s="13">
        <f>LN(F774/E774)</f>
        <v>-4.8903313741161165</v>
      </c>
      <c r="H774" s="4">
        <v>37</v>
      </c>
      <c r="I774" s="4">
        <f>((160*(1/10)*H774)+H774*(1/20)*874.5)*2</f>
        <v>4419.6499999999996</v>
      </c>
      <c r="J774" s="12">
        <v>15548</v>
      </c>
      <c r="K774" s="12">
        <v>59284</v>
      </c>
      <c r="L774" s="14">
        <f t="shared" si="12"/>
        <v>37</v>
      </c>
    </row>
    <row r="775" spans="1:12" ht="19.5" x14ac:dyDescent="0.4">
      <c r="A775" s="1">
        <v>774</v>
      </c>
      <c r="B775" s="1" t="s">
        <v>35</v>
      </c>
      <c r="C775" s="1">
        <v>2024</v>
      </c>
      <c r="D775" t="s">
        <v>14</v>
      </c>
      <c r="E775" s="3">
        <v>225298</v>
      </c>
      <c r="F775" s="3">
        <v>779</v>
      </c>
      <c r="G775" s="13">
        <f>LN(F775/E775)</f>
        <v>-5.6671682034573676</v>
      </c>
      <c r="H775" s="4">
        <v>49.4</v>
      </c>
      <c r="I775" s="4">
        <f>((160*(1/10)*H775)+H775*(1/20)*874.5)*2</f>
        <v>5900.8300000000008</v>
      </c>
      <c r="J775" s="12">
        <v>8519</v>
      </c>
      <c r="K775" s="12">
        <v>35078</v>
      </c>
      <c r="L775" s="14">
        <f t="shared" si="12"/>
        <v>49.4</v>
      </c>
    </row>
    <row r="776" spans="1:12" ht="19.5" x14ac:dyDescent="0.4">
      <c r="A776" s="1">
        <v>775</v>
      </c>
      <c r="B776" s="1" t="s">
        <v>35</v>
      </c>
      <c r="C776" s="1">
        <v>2024</v>
      </c>
      <c r="D776" t="s">
        <v>15</v>
      </c>
      <c r="E776" s="3">
        <v>135777</v>
      </c>
      <c r="F776" s="3">
        <v>981</v>
      </c>
      <c r="G776" s="13">
        <f>LN(F776/E776)</f>
        <v>-4.9301966534814499</v>
      </c>
      <c r="H776" s="4">
        <v>42</v>
      </c>
      <c r="I776" s="4">
        <f>((160*(1/10)*H776)+H776*(1/20)*874.5)*2</f>
        <v>5016.8999999999996</v>
      </c>
      <c r="J776" s="12">
        <v>8295</v>
      </c>
      <c r="K776" s="12">
        <v>50017</v>
      </c>
      <c r="L776" s="14">
        <f t="shared" si="12"/>
        <v>42</v>
      </c>
    </row>
    <row r="777" spans="1:12" ht="19.5" x14ac:dyDescent="0.4">
      <c r="A777" s="1">
        <v>776</v>
      </c>
      <c r="B777" s="1" t="s">
        <v>35</v>
      </c>
      <c r="C777" s="1">
        <v>2024</v>
      </c>
      <c r="D777" t="s">
        <v>16</v>
      </c>
      <c r="E777" s="3">
        <v>217040</v>
      </c>
      <c r="F777" s="3">
        <v>11500</v>
      </c>
      <c r="G777" s="13">
        <f>LN(F777/E777)</f>
        <v>-2.937734632981472</v>
      </c>
      <c r="H777" s="4">
        <v>22</v>
      </c>
      <c r="I777" s="4">
        <f>((160*(1/10)*H777)+H777*(1/20)*874.5)*2</f>
        <v>2627.9</v>
      </c>
      <c r="J777" s="12">
        <v>16187</v>
      </c>
      <c r="K777" s="12">
        <v>63371</v>
      </c>
      <c r="L777" s="14">
        <f t="shared" si="12"/>
        <v>22</v>
      </c>
    </row>
    <row r="778" spans="1:12" ht="19.5" x14ac:dyDescent="0.4">
      <c r="A778" s="1">
        <v>777</v>
      </c>
      <c r="B778" s="1" t="s">
        <v>35</v>
      </c>
      <c r="C778" s="1">
        <v>2024</v>
      </c>
      <c r="D778" t="s">
        <v>17</v>
      </c>
      <c r="E778" s="3">
        <v>142625</v>
      </c>
      <c r="F778" s="3">
        <v>39066</v>
      </c>
      <c r="G778" s="13">
        <f>LN(F778/E778)</f>
        <v>-1.2949662846994596</v>
      </c>
      <c r="H778" s="4">
        <v>7.8</v>
      </c>
      <c r="I778" s="4">
        <f>((160*(1/10)*H778)+H778*(1/20)*874.5)*2</f>
        <v>931.71</v>
      </c>
      <c r="J778" s="12">
        <v>10775</v>
      </c>
      <c r="K778" s="12">
        <v>46523</v>
      </c>
      <c r="L778" s="14">
        <f t="shared" si="12"/>
        <v>7.8</v>
      </c>
    </row>
    <row r="779" spans="1:12" ht="19.5" x14ac:dyDescent="0.4">
      <c r="A779" s="1">
        <v>778</v>
      </c>
      <c r="B779" s="1" t="s">
        <v>35</v>
      </c>
      <c r="C779" s="1">
        <v>2024</v>
      </c>
      <c r="D779" t="s">
        <v>18</v>
      </c>
      <c r="E779" s="3">
        <v>56869</v>
      </c>
      <c r="F779" s="3">
        <v>12534</v>
      </c>
      <c r="G779" s="13">
        <f>LN(F779/E779)</f>
        <v>-1.5123054253981996</v>
      </c>
      <c r="H779" s="4">
        <v>12.8</v>
      </c>
      <c r="I779" s="4">
        <f>((160*(1/10)*H779)+H779*(1/20)*874.5)*2</f>
        <v>1528.96</v>
      </c>
      <c r="J779" s="12">
        <v>4168</v>
      </c>
      <c r="K779" s="12">
        <v>19403</v>
      </c>
      <c r="L779" s="14">
        <f t="shared" si="12"/>
        <v>12.8</v>
      </c>
    </row>
    <row r="780" spans="1:12" ht="19.5" x14ac:dyDescent="0.4">
      <c r="A780" s="1">
        <v>779</v>
      </c>
      <c r="B780" s="1" t="s">
        <v>35</v>
      </c>
      <c r="C780" s="1">
        <v>2024</v>
      </c>
      <c r="D780" t="s">
        <v>19</v>
      </c>
      <c r="E780" s="3">
        <v>121056</v>
      </c>
      <c r="F780" s="3">
        <v>549</v>
      </c>
      <c r="G780" s="13">
        <f>LN(F780/E780)</f>
        <v>-5.3959100859232247</v>
      </c>
      <c r="H780" s="4">
        <v>61</v>
      </c>
      <c r="I780" s="4">
        <f>((160*(1/10)*H780)+H780*(1/20)*874.5)*2</f>
        <v>7286.4500000000007</v>
      </c>
      <c r="J780" s="12">
        <v>8520</v>
      </c>
      <c r="K780" s="12">
        <v>38101</v>
      </c>
      <c r="L780" s="14">
        <f t="shared" si="12"/>
        <v>61</v>
      </c>
    </row>
    <row r="781" spans="1:12" ht="19.5" x14ac:dyDescent="0.4">
      <c r="A781" s="5">
        <v>780</v>
      </c>
      <c r="B781" s="5" t="s">
        <v>35</v>
      </c>
      <c r="C781" s="5">
        <v>2024</v>
      </c>
      <c r="D781" s="6" t="s">
        <v>20</v>
      </c>
      <c r="E781" s="7">
        <v>58171</v>
      </c>
      <c r="F781" s="7">
        <v>129</v>
      </c>
      <c r="G781" s="15">
        <f>LN(F781/E781)</f>
        <v>-6.1113298233872921</v>
      </c>
      <c r="H781" s="8">
        <v>74.2</v>
      </c>
      <c r="I781" s="8">
        <f>((160*(1/10)*H781)+H781*(1/20)*874.5)*2</f>
        <v>8863.19</v>
      </c>
      <c r="J781" s="10">
        <v>3816</v>
      </c>
      <c r="K781" s="10">
        <v>19636</v>
      </c>
      <c r="L781" s="16">
        <f t="shared" si="12"/>
        <v>74.2</v>
      </c>
    </row>
    <row r="782" spans="1:12" ht="19.5" x14ac:dyDescent="0.4">
      <c r="A782" s="1">
        <v>781</v>
      </c>
      <c r="B782" s="1" t="s">
        <v>36</v>
      </c>
      <c r="C782" s="1">
        <v>2018</v>
      </c>
      <c r="D782" t="s">
        <v>8</v>
      </c>
      <c r="E782" s="3">
        <v>248680</v>
      </c>
      <c r="F782" s="3">
        <v>2154</v>
      </c>
      <c r="G782" s="13">
        <f>LN(F782/E782)</f>
        <v>-4.7488403506669403</v>
      </c>
      <c r="H782" s="4">
        <v>16.399999999999999</v>
      </c>
      <c r="I782" s="4">
        <f>((160*(1/10)*H782)+H782*(1/20)*874.5)*2</f>
        <v>1958.9799999999998</v>
      </c>
      <c r="J782" s="12">
        <v>15767</v>
      </c>
      <c r="K782" s="12">
        <v>67093</v>
      </c>
      <c r="L782" s="14">
        <f t="shared" si="12"/>
        <v>16.399999999999999</v>
      </c>
    </row>
    <row r="783" spans="1:12" ht="19.5" x14ac:dyDescent="0.4">
      <c r="A783" s="1">
        <v>782</v>
      </c>
      <c r="B783" s="1" t="s">
        <v>36</v>
      </c>
      <c r="C783" s="1">
        <v>2018</v>
      </c>
      <c r="D783" t="s">
        <v>9</v>
      </c>
      <c r="E783" s="3">
        <v>289323</v>
      </c>
      <c r="F783" s="3">
        <v>2063</v>
      </c>
      <c r="G783" s="13">
        <f>LN(F783/E783)</f>
        <v>-4.9433824769796413</v>
      </c>
      <c r="H783" s="4">
        <v>20.8</v>
      </c>
      <c r="I783" s="4">
        <f>((160*(1/10)*H783)+H783*(1/20)*874.5)*2</f>
        <v>2484.56</v>
      </c>
      <c r="J783" s="12">
        <v>21442</v>
      </c>
      <c r="K783" s="12">
        <v>81653</v>
      </c>
      <c r="L783" s="14">
        <f t="shared" si="12"/>
        <v>20.8</v>
      </c>
    </row>
    <row r="784" spans="1:12" ht="19.5" x14ac:dyDescent="0.4">
      <c r="A784" s="1">
        <v>783</v>
      </c>
      <c r="B784" s="1" t="s">
        <v>36</v>
      </c>
      <c r="C784" s="1">
        <v>2018</v>
      </c>
      <c r="D784" t="s">
        <v>10</v>
      </c>
      <c r="E784" s="3">
        <v>265379</v>
      </c>
      <c r="F784" s="3">
        <v>893</v>
      </c>
      <c r="G784" s="13">
        <f>LN(F784/E784)</f>
        <v>-5.6943276910253529</v>
      </c>
      <c r="H784" s="4">
        <v>23.4</v>
      </c>
      <c r="I784" s="4">
        <f>((160*(1/10)*H784)+H784*(1/20)*874.5)*2</f>
        <v>2795.13</v>
      </c>
      <c r="J784" s="12">
        <v>19571</v>
      </c>
      <c r="K784" s="12">
        <v>74654</v>
      </c>
      <c r="L784" s="14">
        <f t="shared" si="12"/>
        <v>23.4</v>
      </c>
    </row>
    <row r="785" spans="1:12" ht="19.5" x14ac:dyDescent="0.4">
      <c r="A785" s="1">
        <v>784</v>
      </c>
      <c r="B785" s="1" t="s">
        <v>36</v>
      </c>
      <c r="C785" s="1">
        <v>2018</v>
      </c>
      <c r="D785" t="s">
        <v>11</v>
      </c>
      <c r="E785" s="3">
        <v>211835</v>
      </c>
      <c r="F785" s="3">
        <v>653</v>
      </c>
      <c r="G785" s="13">
        <f>LN(F785/E785)</f>
        <v>-5.7819858194567679</v>
      </c>
      <c r="H785" s="4">
        <v>31</v>
      </c>
      <c r="I785" s="4">
        <f>((160*(1/10)*H785)+H785*(1/20)*874.5)*2</f>
        <v>3702.9500000000003</v>
      </c>
      <c r="J785" s="12">
        <v>15073</v>
      </c>
      <c r="K785" s="12">
        <v>53700</v>
      </c>
      <c r="L785" s="14">
        <f t="shared" si="12"/>
        <v>31</v>
      </c>
    </row>
    <row r="786" spans="1:12" ht="19.5" x14ac:dyDescent="0.4">
      <c r="A786" s="1">
        <v>785</v>
      </c>
      <c r="B786" s="1" t="s">
        <v>36</v>
      </c>
      <c r="C786" s="1">
        <v>2018</v>
      </c>
      <c r="D786" t="s">
        <v>12</v>
      </c>
      <c r="E786" s="3">
        <v>125083</v>
      </c>
      <c r="F786" s="3">
        <v>104</v>
      </c>
      <c r="G786" s="13">
        <f>LN(F786/E786)</f>
        <v>-7.0923418967926022</v>
      </c>
      <c r="H786" s="4">
        <v>46.6</v>
      </c>
      <c r="I786" s="4">
        <f>((160*(1/10)*H786)+H786*(1/20)*874.5)*2</f>
        <v>5566.37</v>
      </c>
      <c r="J786" s="12">
        <v>7751</v>
      </c>
      <c r="K786" s="12">
        <v>40932</v>
      </c>
      <c r="L786" s="14">
        <f t="shared" si="12"/>
        <v>46.6</v>
      </c>
    </row>
    <row r="787" spans="1:12" ht="19.5" x14ac:dyDescent="0.4">
      <c r="A787" s="1">
        <v>786</v>
      </c>
      <c r="B787" s="1" t="s">
        <v>36</v>
      </c>
      <c r="C787" s="1">
        <v>2018</v>
      </c>
      <c r="D787" t="s">
        <v>13</v>
      </c>
      <c r="E787" s="3">
        <v>225298</v>
      </c>
      <c r="F787" s="3">
        <v>1462</v>
      </c>
      <c r="G787" s="13">
        <f>LN(F787/E787)</f>
        <v>-5.0376186090183923</v>
      </c>
      <c r="H787" s="4">
        <v>24.4</v>
      </c>
      <c r="I787" s="4">
        <f>((160*(1/10)*H787)+H787*(1/20)*874.5)*2</f>
        <v>2914.58</v>
      </c>
      <c r="J787" s="12">
        <v>15548</v>
      </c>
      <c r="K787" s="12">
        <v>59284</v>
      </c>
      <c r="L787" s="14">
        <f t="shared" si="12"/>
        <v>24.4</v>
      </c>
    </row>
    <row r="788" spans="1:12" ht="19.5" x14ac:dyDescent="0.4">
      <c r="A788" s="1">
        <v>787</v>
      </c>
      <c r="B788" s="1" t="s">
        <v>36</v>
      </c>
      <c r="C788" s="1">
        <v>2018</v>
      </c>
      <c r="D788" t="s">
        <v>14</v>
      </c>
      <c r="E788" s="3">
        <v>225298</v>
      </c>
      <c r="F788" s="3">
        <v>233</v>
      </c>
      <c r="G788" s="13">
        <f>LN(F788/E788)</f>
        <v>-6.8741407957624157</v>
      </c>
      <c r="H788" s="4">
        <v>40.799999999999997</v>
      </c>
      <c r="I788" s="4">
        <f>((160*(1/10)*H788)+H788*(1/20)*874.5)*2</f>
        <v>4873.5599999999995</v>
      </c>
      <c r="J788" s="12">
        <v>8519</v>
      </c>
      <c r="K788" s="12">
        <v>35078</v>
      </c>
      <c r="L788" s="14">
        <f t="shared" si="12"/>
        <v>40.799999999999997</v>
      </c>
    </row>
    <row r="789" spans="1:12" ht="19.5" x14ac:dyDescent="0.4">
      <c r="A789" s="1">
        <v>788</v>
      </c>
      <c r="B789" s="1" t="s">
        <v>36</v>
      </c>
      <c r="C789" s="1">
        <v>2018</v>
      </c>
      <c r="D789" t="s">
        <v>15</v>
      </c>
      <c r="E789" s="3">
        <v>135777</v>
      </c>
      <c r="F789" s="3">
        <v>2779</v>
      </c>
      <c r="G789" s="13">
        <f>LN(F789/E789)</f>
        <v>-3.8889226833043087</v>
      </c>
      <c r="H789" s="4">
        <v>23</v>
      </c>
      <c r="I789" s="4">
        <f>((160*(1/10)*H789)+H789*(1/20)*874.5)*2</f>
        <v>2747.3500000000004</v>
      </c>
      <c r="J789" s="12">
        <v>8295</v>
      </c>
      <c r="K789" s="12">
        <v>50017</v>
      </c>
      <c r="L789" s="14">
        <f t="shared" si="12"/>
        <v>23</v>
      </c>
    </row>
    <row r="790" spans="1:12" ht="19.5" x14ac:dyDescent="0.4">
      <c r="A790" s="1">
        <v>789</v>
      </c>
      <c r="B790" s="1" t="s">
        <v>36</v>
      </c>
      <c r="C790" s="1">
        <v>2018</v>
      </c>
      <c r="D790" t="s">
        <v>16</v>
      </c>
      <c r="E790" s="3">
        <v>217040</v>
      </c>
      <c r="F790" s="3">
        <v>21170</v>
      </c>
      <c r="G790" s="13">
        <f>LN(F790/E790)</f>
        <v>-2.3274965832039025</v>
      </c>
      <c r="H790" s="4">
        <v>11.6</v>
      </c>
      <c r="I790" s="4">
        <f>((160*(1/10)*H790)+H790*(1/20)*874.5)*2</f>
        <v>1385.62</v>
      </c>
      <c r="J790" s="12">
        <v>16187</v>
      </c>
      <c r="K790" s="12">
        <v>63371</v>
      </c>
      <c r="L790" s="14">
        <f t="shared" si="12"/>
        <v>11.6</v>
      </c>
    </row>
    <row r="791" spans="1:12" ht="19.5" x14ac:dyDescent="0.4">
      <c r="A791" s="1">
        <v>790</v>
      </c>
      <c r="B791" s="1" t="s">
        <v>36</v>
      </c>
      <c r="C791" s="1">
        <v>2018</v>
      </c>
      <c r="D791" t="s">
        <v>17</v>
      </c>
      <c r="E791" s="3">
        <v>142625</v>
      </c>
      <c r="F791" s="3">
        <v>1626</v>
      </c>
      <c r="G791" s="13">
        <f>LN(F791/E791)</f>
        <v>-4.4740957970566209</v>
      </c>
      <c r="H791" s="4">
        <v>22.6</v>
      </c>
      <c r="I791" s="4">
        <f>((160*(1/10)*H791)+H791*(1/20)*874.5)*2</f>
        <v>2699.57</v>
      </c>
      <c r="J791" s="12">
        <v>10775</v>
      </c>
      <c r="K791" s="12">
        <v>46523</v>
      </c>
      <c r="L791" s="14">
        <f t="shared" si="12"/>
        <v>22.6</v>
      </c>
    </row>
    <row r="792" spans="1:12" ht="19.5" x14ac:dyDescent="0.4">
      <c r="A792" s="1">
        <v>791</v>
      </c>
      <c r="B792" s="1" t="s">
        <v>36</v>
      </c>
      <c r="C792" s="1">
        <v>2018</v>
      </c>
      <c r="D792" t="s">
        <v>18</v>
      </c>
      <c r="E792" s="3">
        <v>56869</v>
      </c>
      <c r="F792" s="3">
        <v>57</v>
      </c>
      <c r="G792" s="13">
        <f>LN(F792/E792)</f>
        <v>-6.9054543883482697</v>
      </c>
      <c r="H792" s="4">
        <v>36.6</v>
      </c>
      <c r="I792" s="4">
        <f>((160*(1/10)*H792)+H792*(1/20)*874.5)*2</f>
        <v>4371.87</v>
      </c>
      <c r="J792" s="12">
        <v>4168</v>
      </c>
      <c r="K792" s="12">
        <v>19403</v>
      </c>
      <c r="L792" s="14">
        <f t="shared" si="12"/>
        <v>36.6</v>
      </c>
    </row>
    <row r="793" spans="1:12" ht="19.5" x14ac:dyDescent="0.4">
      <c r="A793" s="1">
        <v>792</v>
      </c>
      <c r="B793" s="1" t="s">
        <v>36</v>
      </c>
      <c r="C793" s="1">
        <v>2018</v>
      </c>
      <c r="D793" t="s">
        <v>19</v>
      </c>
      <c r="E793" s="3">
        <v>121056</v>
      </c>
      <c r="F793" s="3">
        <v>29</v>
      </c>
      <c r="G793" s="13">
        <f>LN(F793/E793)</f>
        <v>-8.3367126974462824</v>
      </c>
      <c r="H793" s="4">
        <v>56.8</v>
      </c>
      <c r="I793" s="4">
        <f>((160*(1/10)*H793)+H793*(1/20)*874.5)*2</f>
        <v>6784.76</v>
      </c>
      <c r="J793" s="12">
        <v>8520</v>
      </c>
      <c r="K793" s="12">
        <v>38101</v>
      </c>
      <c r="L793" s="14">
        <f t="shared" si="12"/>
        <v>56.8</v>
      </c>
    </row>
    <row r="794" spans="1:12" ht="19.5" x14ac:dyDescent="0.4">
      <c r="A794" s="5">
        <v>793</v>
      </c>
      <c r="B794" s="5" t="s">
        <v>36</v>
      </c>
      <c r="C794" s="5">
        <v>2018</v>
      </c>
      <c r="D794" s="6" t="s">
        <v>20</v>
      </c>
      <c r="E794" s="7">
        <v>58171</v>
      </c>
      <c r="F794" s="7">
        <v>80</v>
      </c>
      <c r="G794" s="15">
        <f>LN(F794/E794)</f>
        <v>-6.5891155930750829</v>
      </c>
      <c r="H794" s="8">
        <v>65.400000000000006</v>
      </c>
      <c r="I794" s="8">
        <f>((160*(1/10)*H794)+H794*(1/20)*874.5)*2</f>
        <v>7812.0300000000007</v>
      </c>
      <c r="J794" s="10">
        <v>3816</v>
      </c>
      <c r="K794" s="10">
        <v>19636</v>
      </c>
      <c r="L794" s="16">
        <f t="shared" si="12"/>
        <v>65.400000000000006</v>
      </c>
    </row>
    <row r="795" spans="1:12" ht="19.5" x14ac:dyDescent="0.4">
      <c r="A795" s="1">
        <v>794</v>
      </c>
      <c r="B795" s="1" t="s">
        <v>36</v>
      </c>
      <c r="C795" s="1">
        <v>2019</v>
      </c>
      <c r="D795" t="s">
        <v>8</v>
      </c>
      <c r="E795" s="3">
        <v>248680</v>
      </c>
      <c r="F795" s="3">
        <v>3795</v>
      </c>
      <c r="G795" s="13">
        <f>LN(F795/E795)</f>
        <v>-4.1824825185535435</v>
      </c>
      <c r="H795" s="4">
        <v>16.399999999999999</v>
      </c>
      <c r="I795" s="4">
        <f>((160*(1/10)*H795)+H795*(1/20)*874.5)*2</f>
        <v>1958.9799999999998</v>
      </c>
      <c r="J795" s="12">
        <v>15767</v>
      </c>
      <c r="K795" s="12">
        <v>67093</v>
      </c>
      <c r="L795" s="14">
        <f t="shared" si="12"/>
        <v>16.399999999999999</v>
      </c>
    </row>
    <row r="796" spans="1:12" ht="19.5" x14ac:dyDescent="0.4">
      <c r="A796" s="1">
        <v>795</v>
      </c>
      <c r="B796" s="1" t="s">
        <v>36</v>
      </c>
      <c r="C796" s="1">
        <v>2019</v>
      </c>
      <c r="D796" t="s">
        <v>9</v>
      </c>
      <c r="E796" s="3">
        <v>289323</v>
      </c>
      <c r="F796" s="3">
        <v>4221</v>
      </c>
      <c r="G796" s="13">
        <f>LN(F796/E796)</f>
        <v>-4.2274716442683946</v>
      </c>
      <c r="H796" s="4">
        <v>20.8</v>
      </c>
      <c r="I796" s="4">
        <f>((160*(1/10)*H796)+H796*(1/20)*874.5)*2</f>
        <v>2484.56</v>
      </c>
      <c r="J796" s="12">
        <v>21442</v>
      </c>
      <c r="K796" s="12">
        <v>81653</v>
      </c>
      <c r="L796" s="14">
        <f t="shared" si="12"/>
        <v>20.8</v>
      </c>
    </row>
    <row r="797" spans="1:12" ht="19.5" x14ac:dyDescent="0.4">
      <c r="A797" s="1">
        <v>796</v>
      </c>
      <c r="B797" s="1" t="s">
        <v>36</v>
      </c>
      <c r="C797" s="1">
        <v>2019</v>
      </c>
      <c r="D797" t="s">
        <v>10</v>
      </c>
      <c r="E797" s="3">
        <v>265379</v>
      </c>
      <c r="F797" s="3">
        <v>1561</v>
      </c>
      <c r="G797" s="13">
        <f>LN(F797/E797)</f>
        <v>-5.1358323513864201</v>
      </c>
      <c r="H797" s="4">
        <v>23.4</v>
      </c>
      <c r="I797" s="4">
        <f>((160*(1/10)*H797)+H797*(1/20)*874.5)*2</f>
        <v>2795.13</v>
      </c>
      <c r="J797" s="12">
        <v>19571</v>
      </c>
      <c r="K797" s="12">
        <v>74654</v>
      </c>
      <c r="L797" s="14">
        <f t="shared" si="12"/>
        <v>23.4</v>
      </c>
    </row>
    <row r="798" spans="1:12" ht="19.5" x14ac:dyDescent="0.4">
      <c r="A798" s="1">
        <v>797</v>
      </c>
      <c r="B798" s="1" t="s">
        <v>36</v>
      </c>
      <c r="C798" s="1">
        <v>2019</v>
      </c>
      <c r="D798" t="s">
        <v>11</v>
      </c>
      <c r="E798" s="3">
        <v>211835</v>
      </c>
      <c r="F798" s="3">
        <v>866</v>
      </c>
      <c r="G798" s="13">
        <f>LN(F798/E798)</f>
        <v>-5.4996780401707639</v>
      </c>
      <c r="H798" s="4">
        <v>31</v>
      </c>
      <c r="I798" s="4">
        <f>((160*(1/10)*H798)+H798*(1/20)*874.5)*2</f>
        <v>3702.9500000000003</v>
      </c>
      <c r="J798" s="12">
        <v>15073</v>
      </c>
      <c r="K798" s="12">
        <v>53700</v>
      </c>
      <c r="L798" s="14">
        <f t="shared" ref="L798:L861" si="13">H798</f>
        <v>31</v>
      </c>
    </row>
    <row r="799" spans="1:12" ht="19.5" x14ac:dyDescent="0.4">
      <c r="A799" s="1">
        <v>798</v>
      </c>
      <c r="B799" s="1" t="s">
        <v>36</v>
      </c>
      <c r="C799" s="1">
        <v>2019</v>
      </c>
      <c r="D799" t="s">
        <v>12</v>
      </c>
      <c r="E799" s="3">
        <v>125083</v>
      </c>
      <c r="F799" s="3">
        <v>413</v>
      </c>
      <c r="G799" s="13">
        <f>LN(F799/E799)</f>
        <v>-5.7132852029729415</v>
      </c>
      <c r="H799" s="4">
        <v>46.6</v>
      </c>
      <c r="I799" s="4">
        <f>((160*(1/10)*H799)+H799*(1/20)*874.5)*2</f>
        <v>5566.37</v>
      </c>
      <c r="J799" s="12">
        <v>7751</v>
      </c>
      <c r="K799" s="12">
        <v>40932</v>
      </c>
      <c r="L799" s="14">
        <f t="shared" si="13"/>
        <v>46.6</v>
      </c>
    </row>
    <row r="800" spans="1:12" ht="19.5" x14ac:dyDescent="0.4">
      <c r="A800" s="1">
        <v>799</v>
      </c>
      <c r="B800" s="1" t="s">
        <v>36</v>
      </c>
      <c r="C800" s="1">
        <v>2019</v>
      </c>
      <c r="D800" t="s">
        <v>13</v>
      </c>
      <c r="E800" s="3">
        <v>225298</v>
      </c>
      <c r="F800" s="3">
        <v>1944</v>
      </c>
      <c r="G800" s="13">
        <f>LN(F800/E800)</f>
        <v>-4.7526762643077314</v>
      </c>
      <c r="H800" s="4">
        <v>24.4</v>
      </c>
      <c r="I800" s="4">
        <f>((160*(1/10)*H800)+H800*(1/20)*874.5)*2</f>
        <v>2914.58</v>
      </c>
      <c r="J800" s="12">
        <v>15548</v>
      </c>
      <c r="K800" s="12">
        <v>59284</v>
      </c>
      <c r="L800" s="14">
        <f t="shared" si="13"/>
        <v>24.4</v>
      </c>
    </row>
    <row r="801" spans="1:12" ht="19.5" x14ac:dyDescent="0.4">
      <c r="A801" s="1">
        <v>800</v>
      </c>
      <c r="B801" s="1" t="s">
        <v>36</v>
      </c>
      <c r="C801" s="1">
        <v>2019</v>
      </c>
      <c r="D801" t="s">
        <v>14</v>
      </c>
      <c r="E801" s="3">
        <v>225298</v>
      </c>
      <c r="F801" s="3">
        <v>464</v>
      </c>
      <c r="G801" s="13">
        <f>LN(F801/E801)</f>
        <v>-6.1852946971018605</v>
      </c>
      <c r="H801" s="4">
        <v>40.799999999999997</v>
      </c>
      <c r="I801" s="4">
        <f>((160*(1/10)*H801)+H801*(1/20)*874.5)*2</f>
        <v>4873.5599999999995</v>
      </c>
      <c r="J801" s="12">
        <v>8519</v>
      </c>
      <c r="K801" s="12">
        <v>35078</v>
      </c>
      <c r="L801" s="14">
        <f t="shared" si="13"/>
        <v>40.799999999999997</v>
      </c>
    </row>
    <row r="802" spans="1:12" ht="19.5" x14ac:dyDescent="0.4">
      <c r="A802" s="1">
        <v>801</v>
      </c>
      <c r="B802" s="1" t="s">
        <v>36</v>
      </c>
      <c r="C802" s="1">
        <v>2019</v>
      </c>
      <c r="D802" t="s">
        <v>15</v>
      </c>
      <c r="E802" s="3">
        <v>135777</v>
      </c>
      <c r="F802" s="3">
        <v>7399</v>
      </c>
      <c r="G802" s="13">
        <f>LN(F802/E802)</f>
        <v>-2.9096689781212617</v>
      </c>
      <c r="H802" s="4">
        <v>23</v>
      </c>
      <c r="I802" s="4">
        <f>((160*(1/10)*H802)+H802*(1/20)*874.5)*2</f>
        <v>2747.3500000000004</v>
      </c>
      <c r="J802" s="12">
        <v>8295</v>
      </c>
      <c r="K802" s="12">
        <v>50017</v>
      </c>
      <c r="L802" s="14">
        <f t="shared" si="13"/>
        <v>23</v>
      </c>
    </row>
    <row r="803" spans="1:12" ht="19.5" x14ac:dyDescent="0.4">
      <c r="A803" s="1">
        <v>802</v>
      </c>
      <c r="B803" s="1" t="s">
        <v>36</v>
      </c>
      <c r="C803" s="1">
        <v>2019</v>
      </c>
      <c r="D803" t="s">
        <v>16</v>
      </c>
      <c r="E803" s="3">
        <v>217040</v>
      </c>
      <c r="F803" s="3">
        <v>27590</v>
      </c>
      <c r="G803" s="13">
        <f>LN(F803/E803)</f>
        <v>-2.0626282801214817</v>
      </c>
      <c r="H803" s="4">
        <v>11.6</v>
      </c>
      <c r="I803" s="4">
        <f>((160*(1/10)*H803)+H803*(1/20)*874.5)*2</f>
        <v>1385.62</v>
      </c>
      <c r="J803" s="12">
        <v>16187</v>
      </c>
      <c r="K803" s="12">
        <v>63371</v>
      </c>
      <c r="L803" s="14">
        <f t="shared" si="13"/>
        <v>11.6</v>
      </c>
    </row>
    <row r="804" spans="1:12" ht="19.5" x14ac:dyDescent="0.4">
      <c r="A804" s="1">
        <v>803</v>
      </c>
      <c r="B804" s="1" t="s">
        <v>36</v>
      </c>
      <c r="C804" s="1">
        <v>2019</v>
      </c>
      <c r="D804" t="s">
        <v>17</v>
      </c>
      <c r="E804" s="3">
        <v>142625</v>
      </c>
      <c r="F804" s="3">
        <v>2374</v>
      </c>
      <c r="G804" s="13">
        <f>LN(F804/E804)</f>
        <v>-4.0956425119947637</v>
      </c>
      <c r="H804" s="4">
        <v>22.6</v>
      </c>
      <c r="I804" s="4">
        <f>((160*(1/10)*H804)+H804*(1/20)*874.5)*2</f>
        <v>2699.57</v>
      </c>
      <c r="J804" s="12">
        <v>10775</v>
      </c>
      <c r="K804" s="12">
        <v>46523</v>
      </c>
      <c r="L804" s="14">
        <f t="shared" si="13"/>
        <v>22.6</v>
      </c>
    </row>
    <row r="805" spans="1:12" ht="19.5" x14ac:dyDescent="0.4">
      <c r="A805" s="1">
        <v>804</v>
      </c>
      <c r="B805" s="1" t="s">
        <v>36</v>
      </c>
      <c r="C805" s="1">
        <v>2019</v>
      </c>
      <c r="D805" t="s">
        <v>18</v>
      </c>
      <c r="E805" s="3">
        <v>56869</v>
      </c>
      <c r="F805" s="3">
        <v>728</v>
      </c>
      <c r="G805" s="13">
        <f>LN(F805/E805)</f>
        <v>-4.3582046079861341</v>
      </c>
      <c r="H805" s="4">
        <v>36.6</v>
      </c>
      <c r="I805" s="4">
        <f>((160*(1/10)*H805)+H805*(1/20)*874.5)*2</f>
        <v>4371.87</v>
      </c>
      <c r="J805" s="12">
        <v>4168</v>
      </c>
      <c r="K805" s="12">
        <v>19403</v>
      </c>
      <c r="L805" s="14">
        <f t="shared" si="13"/>
        <v>36.6</v>
      </c>
    </row>
    <row r="806" spans="1:12" ht="19.5" x14ac:dyDescent="0.4">
      <c r="A806" s="1">
        <v>805</v>
      </c>
      <c r="B806" s="1" t="s">
        <v>36</v>
      </c>
      <c r="C806" s="1">
        <v>2019</v>
      </c>
      <c r="D806" t="s">
        <v>19</v>
      </c>
      <c r="E806" s="3">
        <v>121056</v>
      </c>
      <c r="F806" s="3">
        <v>174</v>
      </c>
      <c r="G806" s="13">
        <f>LN(F806/E806)</f>
        <v>-6.544953228218227</v>
      </c>
      <c r="H806" s="4">
        <v>56.8</v>
      </c>
      <c r="I806" s="4">
        <f>((160*(1/10)*H806)+H806*(1/20)*874.5)*2</f>
        <v>6784.76</v>
      </c>
      <c r="J806" s="12">
        <v>8520</v>
      </c>
      <c r="K806" s="12">
        <v>38101</v>
      </c>
      <c r="L806" s="14">
        <f t="shared" si="13"/>
        <v>56.8</v>
      </c>
    </row>
    <row r="807" spans="1:12" ht="19.5" x14ac:dyDescent="0.4">
      <c r="A807" s="5">
        <v>806</v>
      </c>
      <c r="B807" s="5" t="s">
        <v>36</v>
      </c>
      <c r="C807" s="5">
        <v>2019</v>
      </c>
      <c r="D807" s="6" t="s">
        <v>20</v>
      </c>
      <c r="E807" s="7">
        <v>58171</v>
      </c>
      <c r="F807" s="7">
        <v>313</v>
      </c>
      <c r="G807" s="15">
        <f>LN(F807/E807)</f>
        <v>-5.2249390372088111</v>
      </c>
      <c r="H807" s="8">
        <v>65.400000000000006</v>
      </c>
      <c r="I807" s="8">
        <f>((160*(1/10)*H807)+H807*(1/20)*874.5)*2</f>
        <v>7812.0300000000007</v>
      </c>
      <c r="J807" s="10">
        <v>3816</v>
      </c>
      <c r="K807" s="10">
        <v>19636</v>
      </c>
      <c r="L807" s="16">
        <f t="shared" si="13"/>
        <v>65.400000000000006</v>
      </c>
    </row>
    <row r="808" spans="1:12" ht="19.5" x14ac:dyDescent="0.4">
      <c r="A808" s="1">
        <v>807</v>
      </c>
      <c r="B808" s="1" t="s">
        <v>36</v>
      </c>
      <c r="C808" s="1">
        <v>2023</v>
      </c>
      <c r="D808" t="s">
        <v>8</v>
      </c>
      <c r="E808" s="3">
        <v>248680</v>
      </c>
      <c r="F808" s="3">
        <v>3201</v>
      </c>
      <c r="G808" s="13">
        <f>LN(F808/E808)</f>
        <v>-4.3527036684134108</v>
      </c>
      <c r="H808" s="4">
        <v>16.399999999999999</v>
      </c>
      <c r="I808" s="4">
        <f>((160*(1/10)*H808)+H808*(1/20)*874.5)*2</f>
        <v>1958.9799999999998</v>
      </c>
      <c r="J808" s="12">
        <v>15767</v>
      </c>
      <c r="K808" s="12">
        <v>67093</v>
      </c>
      <c r="L808" s="14">
        <f t="shared" si="13"/>
        <v>16.399999999999999</v>
      </c>
    </row>
    <row r="809" spans="1:12" ht="19.5" x14ac:dyDescent="0.4">
      <c r="A809" s="1">
        <v>808</v>
      </c>
      <c r="B809" s="1" t="s">
        <v>36</v>
      </c>
      <c r="C809" s="1">
        <v>2023</v>
      </c>
      <c r="D809" t="s">
        <v>9</v>
      </c>
      <c r="E809" s="3">
        <v>289323</v>
      </c>
      <c r="F809" s="3">
        <v>1822</v>
      </c>
      <c r="G809" s="13">
        <f>LN(F809/E809)</f>
        <v>-5.0676089122309893</v>
      </c>
      <c r="H809" s="4">
        <v>20.8</v>
      </c>
      <c r="I809" s="4">
        <f>((160*(1/10)*H809)+H809*(1/20)*874.5)*2</f>
        <v>2484.56</v>
      </c>
      <c r="J809" s="12">
        <v>21442</v>
      </c>
      <c r="K809" s="12">
        <v>81653</v>
      </c>
      <c r="L809" s="14">
        <f t="shared" si="13"/>
        <v>20.8</v>
      </c>
    </row>
    <row r="810" spans="1:12" ht="19.5" x14ac:dyDescent="0.4">
      <c r="A810" s="1">
        <v>809</v>
      </c>
      <c r="B810" s="1" t="s">
        <v>36</v>
      </c>
      <c r="C810" s="1">
        <v>2023</v>
      </c>
      <c r="D810" t="s">
        <v>10</v>
      </c>
      <c r="E810" s="3">
        <v>265379</v>
      </c>
      <c r="F810" s="3">
        <v>877</v>
      </c>
      <c r="G810" s="13">
        <f>LN(F810/E810)</f>
        <v>-5.7124072795296694</v>
      </c>
      <c r="H810" s="4">
        <v>23.4</v>
      </c>
      <c r="I810" s="4">
        <f>((160*(1/10)*H810)+H810*(1/20)*874.5)*2</f>
        <v>2795.13</v>
      </c>
      <c r="J810" s="12">
        <v>19571</v>
      </c>
      <c r="K810" s="12">
        <v>74654</v>
      </c>
      <c r="L810" s="14">
        <f t="shared" si="13"/>
        <v>23.4</v>
      </c>
    </row>
    <row r="811" spans="1:12" ht="19.5" x14ac:dyDescent="0.4">
      <c r="A811" s="1">
        <v>810</v>
      </c>
      <c r="B811" s="1" t="s">
        <v>36</v>
      </c>
      <c r="C811" s="1">
        <v>2023</v>
      </c>
      <c r="D811" t="s">
        <v>11</v>
      </c>
      <c r="E811" s="3">
        <v>211835</v>
      </c>
      <c r="F811" s="3">
        <v>273</v>
      </c>
      <c r="G811" s="13">
        <f>LN(F811/E811)</f>
        <v>-6.6540911535482392</v>
      </c>
      <c r="H811" s="4">
        <v>31</v>
      </c>
      <c r="I811" s="4">
        <f>((160*(1/10)*H811)+H811*(1/20)*874.5)*2</f>
        <v>3702.9500000000003</v>
      </c>
      <c r="J811" s="12">
        <v>15073</v>
      </c>
      <c r="K811" s="12">
        <v>53700</v>
      </c>
      <c r="L811" s="14">
        <f t="shared" si="13"/>
        <v>31</v>
      </c>
    </row>
    <row r="812" spans="1:12" ht="19.5" x14ac:dyDescent="0.4">
      <c r="A812" s="1">
        <v>811</v>
      </c>
      <c r="B812" s="1" t="s">
        <v>36</v>
      </c>
      <c r="C812" s="1">
        <v>2023</v>
      </c>
      <c r="D812" t="s">
        <v>12</v>
      </c>
      <c r="E812" s="3">
        <v>125083</v>
      </c>
      <c r="F812" s="3">
        <v>97</v>
      </c>
      <c r="G812" s="13">
        <f>LN(F812/E812)</f>
        <v>-7.1620218174305919</v>
      </c>
      <c r="H812" s="4">
        <v>46.6</v>
      </c>
      <c r="I812" s="4">
        <f>((160*(1/10)*H812)+H812*(1/20)*874.5)*2</f>
        <v>5566.37</v>
      </c>
      <c r="J812" s="12">
        <v>7751</v>
      </c>
      <c r="K812" s="12">
        <v>40932</v>
      </c>
      <c r="L812" s="14">
        <f t="shared" si="13"/>
        <v>46.6</v>
      </c>
    </row>
    <row r="813" spans="1:12" ht="19.5" x14ac:dyDescent="0.4">
      <c r="A813" s="1">
        <v>812</v>
      </c>
      <c r="B813" s="1" t="s">
        <v>36</v>
      </c>
      <c r="C813" s="1">
        <v>2023</v>
      </c>
      <c r="D813" t="s">
        <v>13</v>
      </c>
      <c r="E813" s="3">
        <v>225298</v>
      </c>
      <c r="F813" s="3">
        <v>651</v>
      </c>
      <c r="G813" s="13">
        <f>LN(F813/E813)</f>
        <v>-5.846669607119547</v>
      </c>
      <c r="H813" s="4">
        <v>24.4</v>
      </c>
      <c r="I813" s="4">
        <f>((160*(1/10)*H813)+H813*(1/20)*874.5)*2</f>
        <v>2914.58</v>
      </c>
      <c r="J813" s="12">
        <v>15548</v>
      </c>
      <c r="K813" s="12">
        <v>59284</v>
      </c>
      <c r="L813" s="14">
        <f t="shared" si="13"/>
        <v>24.4</v>
      </c>
    </row>
    <row r="814" spans="1:12" ht="19.5" x14ac:dyDescent="0.4">
      <c r="A814" s="1">
        <v>813</v>
      </c>
      <c r="B814" s="1" t="s">
        <v>36</v>
      </c>
      <c r="C814" s="1">
        <v>2023</v>
      </c>
      <c r="D814" t="s">
        <v>14</v>
      </c>
      <c r="E814" s="3">
        <v>225298</v>
      </c>
      <c r="F814" s="3">
        <v>104</v>
      </c>
      <c r="G814" s="13">
        <f>LN(F814/E814)</f>
        <v>-7.6807883501867433</v>
      </c>
      <c r="H814" s="4">
        <v>40.799999999999997</v>
      </c>
      <c r="I814" s="4">
        <f>((160*(1/10)*H814)+H814*(1/20)*874.5)*2</f>
        <v>4873.5599999999995</v>
      </c>
      <c r="J814" s="12">
        <v>8519</v>
      </c>
      <c r="K814" s="12">
        <v>35078</v>
      </c>
      <c r="L814" s="14">
        <f t="shared" si="13"/>
        <v>40.799999999999997</v>
      </c>
    </row>
    <row r="815" spans="1:12" ht="19.5" x14ac:dyDescent="0.4">
      <c r="A815" s="1">
        <v>814</v>
      </c>
      <c r="B815" s="1" t="s">
        <v>36</v>
      </c>
      <c r="C815" s="1">
        <v>2023</v>
      </c>
      <c r="D815" t="s">
        <v>15</v>
      </c>
      <c r="E815" s="3">
        <v>135777</v>
      </c>
      <c r="F815" s="3">
        <v>2431</v>
      </c>
      <c r="G815" s="13">
        <f>LN(F815/E815)</f>
        <v>-4.0227111387306893</v>
      </c>
      <c r="H815" s="4">
        <v>23</v>
      </c>
      <c r="I815" s="4">
        <f>((160*(1/10)*H815)+H815*(1/20)*874.5)*2</f>
        <v>2747.3500000000004</v>
      </c>
      <c r="J815" s="12">
        <v>8295</v>
      </c>
      <c r="K815" s="12">
        <v>50017</v>
      </c>
      <c r="L815" s="14">
        <f t="shared" si="13"/>
        <v>23</v>
      </c>
    </row>
    <row r="816" spans="1:12" ht="19.5" x14ac:dyDescent="0.4">
      <c r="A816" s="1">
        <v>815</v>
      </c>
      <c r="B816" s="1" t="s">
        <v>36</v>
      </c>
      <c r="C816" s="1">
        <v>2023</v>
      </c>
      <c r="D816" t="s">
        <v>16</v>
      </c>
      <c r="E816" s="3">
        <v>217040</v>
      </c>
      <c r="F816" s="3">
        <v>17986</v>
      </c>
      <c r="G816" s="13">
        <f>LN(F816/E816)</f>
        <v>-2.4904879908583526</v>
      </c>
      <c r="H816" s="4">
        <v>11.6</v>
      </c>
      <c r="I816" s="4">
        <f>((160*(1/10)*H816)+H816*(1/20)*874.5)*2</f>
        <v>1385.62</v>
      </c>
      <c r="J816" s="12">
        <v>16187</v>
      </c>
      <c r="K816" s="12">
        <v>63371</v>
      </c>
      <c r="L816" s="14">
        <f t="shared" si="13"/>
        <v>11.6</v>
      </c>
    </row>
    <row r="817" spans="1:12" ht="19.5" x14ac:dyDescent="0.4">
      <c r="A817" s="1">
        <v>816</v>
      </c>
      <c r="B817" s="1" t="s">
        <v>36</v>
      </c>
      <c r="C817" s="1">
        <v>2023</v>
      </c>
      <c r="D817" t="s">
        <v>17</v>
      </c>
      <c r="E817" s="3">
        <v>142625</v>
      </c>
      <c r="F817" s="3">
        <v>2084</v>
      </c>
      <c r="G817" s="13">
        <f>LN(F817/E817)</f>
        <v>-4.2259296842911196</v>
      </c>
      <c r="H817" s="4">
        <v>22.6</v>
      </c>
      <c r="I817" s="4">
        <f>((160*(1/10)*H817)+H817*(1/20)*874.5)*2</f>
        <v>2699.57</v>
      </c>
      <c r="J817" s="12">
        <v>10775</v>
      </c>
      <c r="K817" s="12">
        <v>46523</v>
      </c>
      <c r="L817" s="14">
        <f t="shared" si="13"/>
        <v>22.6</v>
      </c>
    </row>
    <row r="818" spans="1:12" ht="19.5" x14ac:dyDescent="0.4">
      <c r="A818" s="1">
        <v>817</v>
      </c>
      <c r="B818" s="1" t="s">
        <v>36</v>
      </c>
      <c r="C818" s="1">
        <v>2023</v>
      </c>
      <c r="D818" t="s">
        <v>18</v>
      </c>
      <c r="E818" s="3">
        <v>56869</v>
      </c>
      <c r="F818" s="3">
        <v>232</v>
      </c>
      <c r="G818" s="13">
        <f>LN(F818/E818)</f>
        <v>-5.5017682845165101</v>
      </c>
      <c r="H818" s="4">
        <v>36.6</v>
      </c>
      <c r="I818" s="4">
        <f>((160*(1/10)*H818)+H818*(1/20)*874.5)*2</f>
        <v>4371.87</v>
      </c>
      <c r="J818" s="12">
        <v>4168</v>
      </c>
      <c r="K818" s="12">
        <v>19403</v>
      </c>
      <c r="L818" s="14">
        <f t="shared" si="13"/>
        <v>36.6</v>
      </c>
    </row>
    <row r="819" spans="1:12" ht="19.5" x14ac:dyDescent="0.4">
      <c r="A819" s="1">
        <v>818</v>
      </c>
      <c r="B819" s="1" t="s">
        <v>36</v>
      </c>
      <c r="C819" s="1">
        <v>2023</v>
      </c>
      <c r="D819" t="s">
        <v>19</v>
      </c>
      <c r="E819" s="3">
        <v>121056</v>
      </c>
      <c r="F819" s="3">
        <v>75</v>
      </c>
      <c r="G819" s="13">
        <f>LN(F819/E819)</f>
        <v>-7.3865204138964451</v>
      </c>
      <c r="H819" s="4">
        <v>56.8</v>
      </c>
      <c r="I819" s="4">
        <f>((160*(1/10)*H819)+H819*(1/20)*874.5)*2</f>
        <v>6784.76</v>
      </c>
      <c r="J819" s="12">
        <v>8520</v>
      </c>
      <c r="K819" s="12">
        <v>38101</v>
      </c>
      <c r="L819" s="14">
        <f t="shared" si="13"/>
        <v>56.8</v>
      </c>
    </row>
    <row r="820" spans="1:12" ht="19.5" x14ac:dyDescent="0.4">
      <c r="A820" s="5">
        <v>819</v>
      </c>
      <c r="B820" s="5" t="s">
        <v>36</v>
      </c>
      <c r="C820" s="5">
        <v>2023</v>
      </c>
      <c r="D820" s="6" t="s">
        <v>20</v>
      </c>
      <c r="E820" s="7">
        <v>58171</v>
      </c>
      <c r="F820" s="7">
        <v>52</v>
      </c>
      <c r="G820" s="15">
        <f>LN(F820/E820)</f>
        <v>-7.019898509167537</v>
      </c>
      <c r="H820" s="8">
        <v>65.400000000000006</v>
      </c>
      <c r="I820" s="8">
        <f>((160*(1/10)*H820)+H820*(1/20)*874.5)*2</f>
        <v>7812.0300000000007</v>
      </c>
      <c r="J820" s="10">
        <v>3816</v>
      </c>
      <c r="K820" s="10">
        <v>19636</v>
      </c>
      <c r="L820" s="16">
        <f t="shared" si="13"/>
        <v>65.400000000000006</v>
      </c>
    </row>
    <row r="821" spans="1:12" ht="19.5" x14ac:dyDescent="0.4">
      <c r="A821" s="1">
        <v>820</v>
      </c>
      <c r="B821" s="1" t="s">
        <v>36</v>
      </c>
      <c r="C821" s="1">
        <v>2024</v>
      </c>
      <c r="D821" t="s">
        <v>8</v>
      </c>
      <c r="E821" s="3">
        <v>248680</v>
      </c>
      <c r="F821" s="3">
        <v>2725</v>
      </c>
      <c r="G821" s="13">
        <f>LN(F821/E821)</f>
        <v>-4.513698501285929</v>
      </c>
      <c r="H821" s="4">
        <v>16.399999999999999</v>
      </c>
      <c r="I821" s="4">
        <f>((160*(1/10)*H821)+H821*(1/20)*874.5)*2</f>
        <v>1958.9799999999998</v>
      </c>
      <c r="J821" s="12">
        <v>15767</v>
      </c>
      <c r="K821" s="12">
        <v>67093</v>
      </c>
      <c r="L821" s="14">
        <f t="shared" si="13"/>
        <v>16.399999999999999</v>
      </c>
    </row>
    <row r="822" spans="1:12" ht="19.5" x14ac:dyDescent="0.4">
      <c r="A822" s="1">
        <v>821</v>
      </c>
      <c r="B822" s="1" t="s">
        <v>36</v>
      </c>
      <c r="C822" s="1">
        <v>2024</v>
      </c>
      <c r="D822" t="s">
        <v>9</v>
      </c>
      <c r="E822" s="3">
        <v>289323</v>
      </c>
      <c r="F822" s="3">
        <v>3011</v>
      </c>
      <c r="G822" s="13">
        <f>LN(F822/E822)</f>
        <v>-4.565271461569159</v>
      </c>
      <c r="H822" s="4">
        <v>20.8</v>
      </c>
      <c r="I822" s="4">
        <f>((160*(1/10)*H822)+H822*(1/20)*874.5)*2</f>
        <v>2484.56</v>
      </c>
      <c r="J822" s="12">
        <v>21442</v>
      </c>
      <c r="K822" s="12">
        <v>81653</v>
      </c>
      <c r="L822" s="14">
        <f t="shared" si="13"/>
        <v>20.8</v>
      </c>
    </row>
    <row r="823" spans="1:12" ht="19.5" x14ac:dyDescent="0.4">
      <c r="A823" s="1">
        <v>822</v>
      </c>
      <c r="B823" s="1" t="s">
        <v>36</v>
      </c>
      <c r="C823" s="1">
        <v>2024</v>
      </c>
      <c r="D823" t="s">
        <v>10</v>
      </c>
      <c r="E823" s="3">
        <v>265379</v>
      </c>
      <c r="F823" s="3">
        <v>1089</v>
      </c>
      <c r="G823" s="13">
        <f>LN(F823/E823)</f>
        <v>-5.495899148968892</v>
      </c>
      <c r="H823" s="4">
        <v>23.4</v>
      </c>
      <c r="I823" s="4">
        <f>((160*(1/10)*H823)+H823*(1/20)*874.5)*2</f>
        <v>2795.13</v>
      </c>
      <c r="J823" s="12">
        <v>19571</v>
      </c>
      <c r="K823" s="12">
        <v>74654</v>
      </c>
      <c r="L823" s="14">
        <f t="shared" si="13"/>
        <v>23.4</v>
      </c>
    </row>
    <row r="824" spans="1:12" ht="19.5" x14ac:dyDescent="0.4">
      <c r="A824" s="1">
        <v>823</v>
      </c>
      <c r="B824" s="1" t="s">
        <v>36</v>
      </c>
      <c r="C824" s="1">
        <v>2024</v>
      </c>
      <c r="D824" t="s">
        <v>11</v>
      </c>
      <c r="E824" s="3">
        <v>211835</v>
      </c>
      <c r="F824" s="3">
        <v>832</v>
      </c>
      <c r="G824" s="13">
        <f>LN(F824/E824)</f>
        <v>-5.5397305079119903</v>
      </c>
      <c r="H824" s="4">
        <v>31</v>
      </c>
      <c r="I824" s="4">
        <f>((160*(1/10)*H824)+H824*(1/20)*874.5)*2</f>
        <v>3702.9500000000003</v>
      </c>
      <c r="J824" s="12">
        <v>15073</v>
      </c>
      <c r="K824" s="12">
        <v>53700</v>
      </c>
      <c r="L824" s="14">
        <f t="shared" si="13"/>
        <v>31</v>
      </c>
    </row>
    <row r="825" spans="1:12" ht="19.5" x14ac:dyDescent="0.4">
      <c r="A825" s="1">
        <v>824</v>
      </c>
      <c r="B825" s="1" t="s">
        <v>36</v>
      </c>
      <c r="C825" s="1">
        <v>2024</v>
      </c>
      <c r="D825" t="s">
        <v>12</v>
      </c>
      <c r="E825" s="3">
        <v>125083</v>
      </c>
      <c r="F825" s="3">
        <v>463</v>
      </c>
      <c r="G825" s="13">
        <f>LN(F825/E825)</f>
        <v>-5.5990057418477406</v>
      </c>
      <c r="H825" s="4">
        <v>46.6</v>
      </c>
      <c r="I825" s="4">
        <f>((160*(1/10)*H825)+H825*(1/20)*874.5)*2</f>
        <v>5566.37</v>
      </c>
      <c r="J825" s="12">
        <v>7751</v>
      </c>
      <c r="K825" s="12">
        <v>40932</v>
      </c>
      <c r="L825" s="14">
        <f t="shared" si="13"/>
        <v>46.6</v>
      </c>
    </row>
    <row r="826" spans="1:12" ht="19.5" x14ac:dyDescent="0.4">
      <c r="A826" s="1">
        <v>825</v>
      </c>
      <c r="B826" s="1" t="s">
        <v>36</v>
      </c>
      <c r="C826" s="1">
        <v>2024</v>
      </c>
      <c r="D826" t="s">
        <v>13</v>
      </c>
      <c r="E826" s="3">
        <v>225298</v>
      </c>
      <c r="F826" s="3">
        <v>1270</v>
      </c>
      <c r="G826" s="13">
        <f>LN(F826/E826)</f>
        <v>-5.1784070698754787</v>
      </c>
      <c r="H826" s="4">
        <v>24.4</v>
      </c>
      <c r="I826" s="4">
        <f>((160*(1/10)*H826)+H826*(1/20)*874.5)*2</f>
        <v>2914.58</v>
      </c>
      <c r="J826" s="12">
        <v>15548</v>
      </c>
      <c r="K826" s="12">
        <v>59284</v>
      </c>
      <c r="L826" s="14">
        <f t="shared" si="13"/>
        <v>24.4</v>
      </c>
    </row>
    <row r="827" spans="1:12" ht="19.5" x14ac:dyDescent="0.4">
      <c r="A827" s="1">
        <v>826</v>
      </c>
      <c r="B827" s="1" t="s">
        <v>36</v>
      </c>
      <c r="C827" s="1">
        <v>2024</v>
      </c>
      <c r="D827" t="s">
        <v>14</v>
      </c>
      <c r="E827" s="3">
        <v>225298</v>
      </c>
      <c r="F827" s="3">
        <v>36</v>
      </c>
      <c r="G827" s="13">
        <f>LN(F827/E827)</f>
        <v>-8.7416603108720068</v>
      </c>
      <c r="H827" s="4">
        <v>40.799999999999997</v>
      </c>
      <c r="I827" s="4">
        <f>((160*(1/10)*H827)+H827*(1/20)*874.5)*2</f>
        <v>4873.5599999999995</v>
      </c>
      <c r="J827" s="12">
        <v>8519</v>
      </c>
      <c r="K827" s="12">
        <v>35078</v>
      </c>
      <c r="L827" s="14">
        <f t="shared" si="13"/>
        <v>40.799999999999997</v>
      </c>
    </row>
    <row r="828" spans="1:12" ht="19.5" x14ac:dyDescent="0.4">
      <c r="A828" s="1">
        <v>827</v>
      </c>
      <c r="B828" s="1" t="s">
        <v>36</v>
      </c>
      <c r="C828" s="1">
        <v>2024</v>
      </c>
      <c r="D828" t="s">
        <v>15</v>
      </c>
      <c r="E828" s="3">
        <v>135777</v>
      </c>
      <c r="F828" s="3">
        <v>2141</v>
      </c>
      <c r="G828" s="13">
        <f>LN(F828/E828)</f>
        <v>-4.1497408244571297</v>
      </c>
      <c r="H828" s="4">
        <v>23</v>
      </c>
      <c r="I828" s="4">
        <f>((160*(1/10)*H828)+H828*(1/20)*874.5)*2</f>
        <v>2747.3500000000004</v>
      </c>
      <c r="J828" s="12">
        <v>8295</v>
      </c>
      <c r="K828" s="12">
        <v>50017</v>
      </c>
      <c r="L828" s="14">
        <f t="shared" si="13"/>
        <v>23</v>
      </c>
    </row>
    <row r="829" spans="1:12" ht="19.5" x14ac:dyDescent="0.4">
      <c r="A829" s="1">
        <v>828</v>
      </c>
      <c r="B829" s="1" t="s">
        <v>36</v>
      </c>
      <c r="C829" s="1">
        <v>2024</v>
      </c>
      <c r="D829" t="s">
        <v>16</v>
      </c>
      <c r="E829" s="3">
        <v>217040</v>
      </c>
      <c r="F829" s="3">
        <v>17811</v>
      </c>
      <c r="G829" s="13">
        <f>LN(F829/E829)</f>
        <v>-2.5002654243940281</v>
      </c>
      <c r="H829" s="4">
        <v>11.6</v>
      </c>
      <c r="I829" s="4">
        <f>((160*(1/10)*H829)+H829*(1/20)*874.5)*2</f>
        <v>1385.62</v>
      </c>
      <c r="J829" s="12">
        <v>16187</v>
      </c>
      <c r="K829" s="12">
        <v>63371</v>
      </c>
      <c r="L829" s="14">
        <f t="shared" si="13"/>
        <v>11.6</v>
      </c>
    </row>
    <row r="830" spans="1:12" ht="19.5" x14ac:dyDescent="0.4">
      <c r="A830" s="1">
        <v>829</v>
      </c>
      <c r="B830" s="1" t="s">
        <v>36</v>
      </c>
      <c r="C830" s="1">
        <v>2024</v>
      </c>
      <c r="D830" t="s">
        <v>17</v>
      </c>
      <c r="E830" s="3">
        <v>142625</v>
      </c>
      <c r="F830" s="3">
        <v>1353</v>
      </c>
      <c r="G830" s="13">
        <f>LN(F830/E830)</f>
        <v>-4.6578944589935887</v>
      </c>
      <c r="H830" s="4">
        <v>22.6</v>
      </c>
      <c r="I830" s="4">
        <f>((160*(1/10)*H830)+H830*(1/20)*874.5)*2</f>
        <v>2699.57</v>
      </c>
      <c r="J830" s="12">
        <v>10775</v>
      </c>
      <c r="K830" s="12">
        <v>46523</v>
      </c>
      <c r="L830" s="14">
        <f t="shared" si="13"/>
        <v>22.6</v>
      </c>
    </row>
    <row r="831" spans="1:12" ht="19.5" x14ac:dyDescent="0.4">
      <c r="A831" s="1">
        <v>830</v>
      </c>
      <c r="B831" s="1" t="s">
        <v>36</v>
      </c>
      <c r="C831" s="1">
        <v>2024</v>
      </c>
      <c r="D831" t="s">
        <v>18</v>
      </c>
      <c r="E831" s="3">
        <v>56869</v>
      </c>
      <c r="F831" s="3">
        <v>158</v>
      </c>
      <c r="G831" s="13">
        <f>LN(F831/E831)</f>
        <v>-5.8859106231558531</v>
      </c>
      <c r="H831" s="4">
        <v>36.6</v>
      </c>
      <c r="I831" s="4">
        <f>((160*(1/10)*H831)+H831*(1/20)*874.5)*2</f>
        <v>4371.87</v>
      </c>
      <c r="J831" s="12">
        <v>4168</v>
      </c>
      <c r="K831" s="12">
        <v>19403</v>
      </c>
      <c r="L831" s="14">
        <f t="shared" si="13"/>
        <v>36.6</v>
      </c>
    </row>
    <row r="832" spans="1:12" ht="19.5" x14ac:dyDescent="0.4">
      <c r="A832" s="1">
        <v>831</v>
      </c>
      <c r="B832" s="1" t="s">
        <v>36</v>
      </c>
      <c r="C832" s="1">
        <v>2024</v>
      </c>
      <c r="D832" t="s">
        <v>19</v>
      </c>
      <c r="E832" s="3">
        <v>121056</v>
      </c>
      <c r="F832" s="3">
        <v>79</v>
      </c>
      <c r="G832" s="13">
        <f>LN(F832/E832)</f>
        <v>-7.3345606749657346</v>
      </c>
      <c r="H832" s="4">
        <v>56.8</v>
      </c>
      <c r="I832" s="4">
        <f>((160*(1/10)*H832)+H832*(1/20)*874.5)*2</f>
        <v>6784.76</v>
      </c>
      <c r="J832" s="12">
        <v>8520</v>
      </c>
      <c r="K832" s="12">
        <v>38101</v>
      </c>
      <c r="L832" s="14">
        <f t="shared" si="13"/>
        <v>56.8</v>
      </c>
    </row>
    <row r="833" spans="1:25" ht="19.5" x14ac:dyDescent="0.4">
      <c r="A833" s="5">
        <v>832</v>
      </c>
      <c r="B833" s="5" t="s">
        <v>36</v>
      </c>
      <c r="C833" s="5">
        <v>2024</v>
      </c>
      <c r="D833" s="6" t="s">
        <v>20</v>
      </c>
      <c r="E833" s="7">
        <v>58171</v>
      </c>
      <c r="F833" s="7">
        <v>135</v>
      </c>
      <c r="G833" s="15">
        <f>LN(F833/E833)</f>
        <v>-6.0658674493105345</v>
      </c>
      <c r="H833" s="8">
        <v>65.400000000000006</v>
      </c>
      <c r="I833" s="8">
        <f>((160*(1/10)*H833)+H833*(1/20)*874.5)*2</f>
        <v>7812.0300000000007</v>
      </c>
      <c r="J833" s="10">
        <v>3816</v>
      </c>
      <c r="K833" s="10">
        <v>19636</v>
      </c>
      <c r="L833" s="16">
        <f t="shared" si="13"/>
        <v>65.400000000000006</v>
      </c>
    </row>
    <row r="834" spans="1:25" ht="19.5" x14ac:dyDescent="0.4">
      <c r="A834" s="1">
        <v>833</v>
      </c>
      <c r="B834" s="1" t="s">
        <v>17</v>
      </c>
      <c r="C834" s="1">
        <v>2018</v>
      </c>
      <c r="D834" t="s">
        <v>8</v>
      </c>
      <c r="E834" s="3">
        <v>248680</v>
      </c>
      <c r="F834" s="3">
        <v>1855</v>
      </c>
      <c r="G834" s="13">
        <f>LN(F834/E834)</f>
        <v>-4.898282233341738</v>
      </c>
      <c r="H834" s="4">
        <v>20.8</v>
      </c>
      <c r="I834" s="4">
        <f>((160*(1/10)*H834)+H834*(1/20)*874.5)*2</f>
        <v>2484.56</v>
      </c>
      <c r="J834" s="12">
        <v>15767</v>
      </c>
      <c r="K834" s="12">
        <v>67093</v>
      </c>
      <c r="L834" s="14">
        <f t="shared" si="13"/>
        <v>20.8</v>
      </c>
      <c r="Q834"/>
      <c r="R834"/>
      <c r="S834"/>
      <c r="T834"/>
      <c r="U834"/>
      <c r="V834"/>
      <c r="W834"/>
      <c r="X834"/>
      <c r="Y834"/>
    </row>
    <row r="835" spans="1:25" ht="19.5" x14ac:dyDescent="0.4">
      <c r="A835" s="1">
        <v>834</v>
      </c>
      <c r="B835" s="1" t="s">
        <v>17</v>
      </c>
      <c r="C835" s="1">
        <v>2018</v>
      </c>
      <c r="D835" t="s">
        <v>9</v>
      </c>
      <c r="E835" s="3">
        <v>289323</v>
      </c>
      <c r="F835" s="3">
        <v>3572</v>
      </c>
      <c r="G835" s="13">
        <f>LN(F835/E835)</f>
        <v>-4.3944180480545034</v>
      </c>
      <c r="H835" s="4">
        <v>18</v>
      </c>
      <c r="I835" s="4">
        <f>((160*(1/10)*H835)+H835*(1/20)*874.5)*2</f>
        <v>2150.1000000000004</v>
      </c>
      <c r="J835" s="12">
        <v>21442</v>
      </c>
      <c r="K835" s="12">
        <v>81653</v>
      </c>
      <c r="L835" s="14">
        <f t="shared" si="13"/>
        <v>18</v>
      </c>
    </row>
    <row r="836" spans="1:25" ht="19.5" x14ac:dyDescent="0.4">
      <c r="A836" s="1">
        <v>835</v>
      </c>
      <c r="B836" s="1" t="s">
        <v>17</v>
      </c>
      <c r="C836" s="1">
        <v>2018</v>
      </c>
      <c r="D836" t="s">
        <v>10</v>
      </c>
      <c r="E836" s="3">
        <v>265379</v>
      </c>
      <c r="F836" s="3">
        <v>4402</v>
      </c>
      <c r="G836" s="13">
        <f>LN(F836/E836)</f>
        <v>-4.0991000098154453</v>
      </c>
      <c r="H836" s="4">
        <v>23.4</v>
      </c>
      <c r="I836" s="4">
        <f>((160*(1/10)*H836)+H836*(1/20)*874.5)*2</f>
        <v>2795.13</v>
      </c>
      <c r="J836" s="12">
        <v>19571</v>
      </c>
      <c r="K836" s="12">
        <v>74654</v>
      </c>
      <c r="L836" s="14">
        <f t="shared" si="13"/>
        <v>23.4</v>
      </c>
    </row>
    <row r="837" spans="1:25" ht="19.5" x14ac:dyDescent="0.4">
      <c r="A837" s="1">
        <v>836</v>
      </c>
      <c r="B837" s="1" t="s">
        <v>17</v>
      </c>
      <c r="C837" s="1">
        <v>2018</v>
      </c>
      <c r="D837" t="s">
        <v>11</v>
      </c>
      <c r="E837" s="3">
        <v>211835</v>
      </c>
      <c r="F837" s="3">
        <v>2177</v>
      </c>
      <c r="G837" s="13">
        <f>LN(F837/E837)</f>
        <v>-4.5778598874986516</v>
      </c>
      <c r="H837" s="4">
        <v>30.8</v>
      </c>
      <c r="I837" s="4">
        <f>((160*(1/10)*H837)+H837*(1/20)*874.5)*2</f>
        <v>3679.06</v>
      </c>
      <c r="J837" s="12">
        <v>15073</v>
      </c>
      <c r="K837" s="12">
        <v>53700</v>
      </c>
      <c r="L837" s="14">
        <f t="shared" si="13"/>
        <v>30.8</v>
      </c>
    </row>
    <row r="838" spans="1:25" ht="19.5" x14ac:dyDescent="0.4">
      <c r="A838" s="1">
        <v>837</v>
      </c>
      <c r="B838" s="1" t="s">
        <v>17</v>
      </c>
      <c r="C838" s="1">
        <v>2018</v>
      </c>
      <c r="D838" t="s">
        <v>12</v>
      </c>
      <c r="E838" s="3">
        <v>125083</v>
      </c>
      <c r="F838" s="3">
        <v>800</v>
      </c>
      <c r="G838" s="13">
        <f>LN(F838/E838)</f>
        <v>-5.0521210682660476</v>
      </c>
      <c r="H838" s="4">
        <v>56.2</v>
      </c>
      <c r="I838" s="4">
        <f>((160*(1/10)*H838)+H838*(1/20)*874.5)*2</f>
        <v>6713.09</v>
      </c>
      <c r="J838" s="12">
        <v>7751</v>
      </c>
      <c r="K838" s="12">
        <v>40932</v>
      </c>
      <c r="L838" s="14">
        <f t="shared" si="13"/>
        <v>56.2</v>
      </c>
    </row>
    <row r="839" spans="1:25" ht="19.5" x14ac:dyDescent="0.4">
      <c r="A839" s="1">
        <v>838</v>
      </c>
      <c r="B839" s="1" t="s">
        <v>17</v>
      </c>
      <c r="C839" s="1">
        <v>2018</v>
      </c>
      <c r="D839" t="s">
        <v>13</v>
      </c>
      <c r="E839" s="3">
        <v>225298</v>
      </c>
      <c r="F839" s="3">
        <v>1908</v>
      </c>
      <c r="G839" s="13">
        <f>LN(F839/E839)</f>
        <v>-4.7713683973198844</v>
      </c>
      <c r="H839" s="4">
        <v>31.6</v>
      </c>
      <c r="I839" s="4">
        <f>((160*(1/10)*H839)+H839*(1/20)*874.5)*2</f>
        <v>3774.62</v>
      </c>
      <c r="J839" s="12">
        <v>15548</v>
      </c>
      <c r="K839" s="12">
        <v>59284</v>
      </c>
      <c r="L839" s="14">
        <f t="shared" si="13"/>
        <v>31.6</v>
      </c>
    </row>
    <row r="840" spans="1:25" ht="19.5" x14ac:dyDescent="0.4">
      <c r="A840" s="1">
        <v>839</v>
      </c>
      <c r="B840" s="1" t="s">
        <v>17</v>
      </c>
      <c r="C840" s="1">
        <v>2018</v>
      </c>
      <c r="D840" t="s">
        <v>14</v>
      </c>
      <c r="E840" s="3">
        <v>225298</v>
      </c>
      <c r="F840" s="3">
        <v>1348</v>
      </c>
      <c r="G840" s="13">
        <f>LN(F840/E840)</f>
        <v>-5.1188019578558634</v>
      </c>
      <c r="H840" s="4">
        <v>43.8</v>
      </c>
      <c r="I840" s="4">
        <f>((160*(1/10)*H840)+H840*(1/20)*874.5)*2</f>
        <v>5231.91</v>
      </c>
      <c r="J840" s="12">
        <v>8519</v>
      </c>
      <c r="K840" s="12">
        <v>35078</v>
      </c>
      <c r="L840" s="14">
        <f t="shared" si="13"/>
        <v>43.8</v>
      </c>
    </row>
    <row r="841" spans="1:25" ht="19.5" x14ac:dyDescent="0.4">
      <c r="A841" s="1">
        <v>840</v>
      </c>
      <c r="B841" s="1" t="s">
        <v>17</v>
      </c>
      <c r="C841" s="1">
        <v>2018</v>
      </c>
      <c r="D841" t="s">
        <v>15</v>
      </c>
      <c r="E841" s="3">
        <v>135777</v>
      </c>
      <c r="F841" s="3">
        <v>979</v>
      </c>
      <c r="G841" s="13">
        <f>LN(F841/E841)</f>
        <v>-4.9322374705163021</v>
      </c>
      <c r="H841" s="4">
        <v>43.6</v>
      </c>
      <c r="I841" s="4">
        <f>((160*(1/10)*H841)+H841*(1/20)*874.5)*2</f>
        <v>5208.0200000000004</v>
      </c>
      <c r="J841" s="12">
        <v>8295</v>
      </c>
      <c r="K841" s="12">
        <v>50017</v>
      </c>
      <c r="L841" s="14">
        <f t="shared" si="13"/>
        <v>43.6</v>
      </c>
    </row>
    <row r="842" spans="1:25" ht="19.5" x14ac:dyDescent="0.4">
      <c r="A842" s="1">
        <v>841</v>
      </c>
      <c r="B842" s="1" t="s">
        <v>17</v>
      </c>
      <c r="C842" s="1">
        <v>2018</v>
      </c>
      <c r="D842" t="s">
        <v>16</v>
      </c>
      <c r="E842" s="3">
        <v>217040</v>
      </c>
      <c r="F842" s="3">
        <v>7436</v>
      </c>
      <c r="G842" s="13">
        <f>LN(F842/E842)</f>
        <v>-3.3737485984914786</v>
      </c>
      <c r="H842" s="4">
        <v>13.8</v>
      </c>
      <c r="I842" s="4">
        <f>((160*(1/10)*H842)+H842*(1/20)*874.5)*2</f>
        <v>1648.4100000000003</v>
      </c>
      <c r="J842" s="12">
        <v>16187</v>
      </c>
      <c r="K842" s="12">
        <v>63371</v>
      </c>
      <c r="L842" s="14">
        <f t="shared" si="13"/>
        <v>13.8</v>
      </c>
    </row>
    <row r="843" spans="1:25" ht="19.5" x14ac:dyDescent="0.4">
      <c r="A843" s="1">
        <v>842</v>
      </c>
      <c r="B843" s="1" t="s">
        <v>17</v>
      </c>
      <c r="C843" s="1">
        <v>2018</v>
      </c>
      <c r="D843" t="s">
        <v>17</v>
      </c>
      <c r="E843" s="3">
        <v>142625</v>
      </c>
      <c r="F843" s="3">
        <v>42742</v>
      </c>
      <c r="G843" s="13">
        <f>LN(F843/E843)</f>
        <v>-1.2050367648142402</v>
      </c>
      <c r="H843" s="4">
        <v>4.4000000000000004</v>
      </c>
      <c r="I843" s="4">
        <f>((160*(1/10)*H843)+H843*(1/20)*874.5)*2</f>
        <v>525.58000000000004</v>
      </c>
      <c r="J843" s="12">
        <v>10775</v>
      </c>
      <c r="K843" s="12">
        <v>46523</v>
      </c>
      <c r="L843" s="14">
        <f t="shared" si="13"/>
        <v>4.4000000000000004</v>
      </c>
    </row>
    <row r="844" spans="1:25" ht="19.5" x14ac:dyDescent="0.4">
      <c r="A844" s="1">
        <v>843</v>
      </c>
      <c r="B844" s="1" t="s">
        <v>17</v>
      </c>
      <c r="C844" s="1">
        <v>2018</v>
      </c>
      <c r="D844" t="s">
        <v>18</v>
      </c>
      <c r="E844" s="3">
        <v>56869</v>
      </c>
      <c r="F844" s="3">
        <v>1672</v>
      </c>
      <c r="G844" s="13">
        <f>LN(F844/E844)</f>
        <v>-3.5267298625381733</v>
      </c>
      <c r="H844" s="4">
        <v>18.399999999999999</v>
      </c>
      <c r="I844" s="4">
        <f>((160*(1/10)*H844)+H844*(1/20)*874.5)*2</f>
        <v>2197.88</v>
      </c>
      <c r="J844" s="12">
        <v>4168</v>
      </c>
      <c r="K844" s="12">
        <v>19403</v>
      </c>
      <c r="L844" s="14">
        <f t="shared" si="13"/>
        <v>18.399999999999999</v>
      </c>
    </row>
    <row r="845" spans="1:25" ht="19.5" x14ac:dyDescent="0.4">
      <c r="A845" s="1">
        <v>844</v>
      </c>
      <c r="B845" s="1" t="s">
        <v>17</v>
      </c>
      <c r="C845" s="1">
        <v>2018</v>
      </c>
      <c r="D845" t="s">
        <v>19</v>
      </c>
      <c r="E845" s="3">
        <v>121056</v>
      </c>
      <c r="F845" s="3">
        <v>1550</v>
      </c>
      <c r="G845" s="13">
        <f>LN(F845/E845)</f>
        <v>-4.3579983175194634</v>
      </c>
      <c r="H845" s="4">
        <v>55.4</v>
      </c>
      <c r="I845" s="4">
        <f>((160*(1/10)*H845)+H845*(1/20)*874.5)*2</f>
        <v>6617.5300000000007</v>
      </c>
      <c r="J845" s="12">
        <v>8520</v>
      </c>
      <c r="K845" s="12">
        <v>38101</v>
      </c>
      <c r="L845" s="14">
        <f t="shared" si="13"/>
        <v>55.4</v>
      </c>
    </row>
    <row r="846" spans="1:25" ht="19.5" x14ac:dyDescent="0.4">
      <c r="A846" s="5">
        <v>845</v>
      </c>
      <c r="B846" s="5" t="s">
        <v>17</v>
      </c>
      <c r="C846" s="5">
        <v>2018</v>
      </c>
      <c r="D846" s="6" t="s">
        <v>20</v>
      </c>
      <c r="E846" s="7">
        <v>58171</v>
      </c>
      <c r="F846" s="7">
        <v>434</v>
      </c>
      <c r="G846" s="15">
        <f>LN(F846/E846)</f>
        <v>-4.898097693648559</v>
      </c>
      <c r="H846" s="8">
        <v>68.2</v>
      </c>
      <c r="I846" s="8">
        <f>((160*(1/10)*H846)+H846*(1/20)*874.5)*2</f>
        <v>8146.49</v>
      </c>
      <c r="J846" s="10">
        <v>3816</v>
      </c>
      <c r="K846" s="10">
        <v>19636</v>
      </c>
      <c r="L846" s="16">
        <f t="shared" si="13"/>
        <v>68.2</v>
      </c>
    </row>
    <row r="847" spans="1:25" ht="19.5" x14ac:dyDescent="0.4">
      <c r="A847" s="1">
        <v>846</v>
      </c>
      <c r="B847" s="1" t="s">
        <v>17</v>
      </c>
      <c r="C847" s="1">
        <v>2019</v>
      </c>
      <c r="D847" t="s">
        <v>8</v>
      </c>
      <c r="E847" s="3">
        <v>248680</v>
      </c>
      <c r="F847" s="3">
        <v>2499</v>
      </c>
      <c r="G847" s="13">
        <f>LN(F847/E847)</f>
        <v>-4.6002762775483212</v>
      </c>
      <c r="H847" s="4">
        <v>20.8</v>
      </c>
      <c r="I847" s="4">
        <f>((160*(1/10)*H847)+H847*(1/20)*874.5)*2</f>
        <v>2484.56</v>
      </c>
      <c r="J847" s="12">
        <v>15767</v>
      </c>
      <c r="K847" s="12">
        <v>67093</v>
      </c>
      <c r="L847" s="14">
        <f t="shared" si="13"/>
        <v>20.8</v>
      </c>
    </row>
    <row r="848" spans="1:25" ht="19.5" x14ac:dyDescent="0.4">
      <c r="A848" s="1">
        <v>847</v>
      </c>
      <c r="B848" s="1" t="s">
        <v>17</v>
      </c>
      <c r="C848" s="1">
        <v>2019</v>
      </c>
      <c r="D848" t="s">
        <v>9</v>
      </c>
      <c r="E848" s="3">
        <v>289323</v>
      </c>
      <c r="F848" s="3">
        <v>6387</v>
      </c>
      <c r="G848" s="13">
        <f>LN(F848/E848)</f>
        <v>-3.8132790364893037</v>
      </c>
      <c r="H848" s="4">
        <v>18</v>
      </c>
      <c r="I848" s="4">
        <f>((160*(1/10)*H848)+H848*(1/20)*874.5)*2</f>
        <v>2150.1000000000004</v>
      </c>
      <c r="J848" s="12">
        <v>21442</v>
      </c>
      <c r="K848" s="12">
        <v>81653</v>
      </c>
      <c r="L848" s="14">
        <f t="shared" si="13"/>
        <v>18</v>
      </c>
    </row>
    <row r="849" spans="1:12" ht="19.5" x14ac:dyDescent="0.4">
      <c r="A849" s="1">
        <v>848</v>
      </c>
      <c r="B849" s="1" t="s">
        <v>17</v>
      </c>
      <c r="C849" s="1">
        <v>2019</v>
      </c>
      <c r="D849" t="s">
        <v>10</v>
      </c>
      <c r="E849" s="3">
        <v>265379</v>
      </c>
      <c r="F849" s="3">
        <v>4131</v>
      </c>
      <c r="G849" s="13">
        <f>LN(F849/E849)</f>
        <v>-4.162639484505088</v>
      </c>
      <c r="H849" s="4">
        <v>23.4</v>
      </c>
      <c r="I849" s="4">
        <f>((160*(1/10)*H849)+H849*(1/20)*874.5)*2</f>
        <v>2795.13</v>
      </c>
      <c r="J849" s="12">
        <v>19571</v>
      </c>
      <c r="K849" s="12">
        <v>74654</v>
      </c>
      <c r="L849" s="14">
        <f t="shared" si="13"/>
        <v>23.4</v>
      </c>
    </row>
    <row r="850" spans="1:12" ht="19.5" x14ac:dyDescent="0.4">
      <c r="A850" s="1">
        <v>849</v>
      </c>
      <c r="B850" s="1" t="s">
        <v>17</v>
      </c>
      <c r="C850" s="1">
        <v>2019</v>
      </c>
      <c r="D850" t="s">
        <v>11</v>
      </c>
      <c r="E850" s="3">
        <v>211835</v>
      </c>
      <c r="F850" s="3">
        <v>2555</v>
      </c>
      <c r="G850" s="13">
        <f>LN(F850/E850)</f>
        <v>-4.4177554460953941</v>
      </c>
      <c r="H850" s="4">
        <v>30.8</v>
      </c>
      <c r="I850" s="4">
        <f>((160*(1/10)*H850)+H850*(1/20)*874.5)*2</f>
        <v>3679.06</v>
      </c>
      <c r="J850" s="12">
        <v>15073</v>
      </c>
      <c r="K850" s="12">
        <v>53700</v>
      </c>
      <c r="L850" s="14">
        <f t="shared" si="13"/>
        <v>30.8</v>
      </c>
    </row>
    <row r="851" spans="1:12" ht="19.5" x14ac:dyDescent="0.4">
      <c r="A851" s="1">
        <v>850</v>
      </c>
      <c r="B851" s="1" t="s">
        <v>17</v>
      </c>
      <c r="C851" s="1">
        <v>2019</v>
      </c>
      <c r="D851" t="s">
        <v>12</v>
      </c>
      <c r="E851" s="3">
        <v>125083</v>
      </c>
      <c r="F851" s="3">
        <v>971</v>
      </c>
      <c r="G851" s="13">
        <f>LN(F851/E851)</f>
        <v>-4.8584063276426495</v>
      </c>
      <c r="H851" s="4">
        <v>56.2</v>
      </c>
      <c r="I851" s="4">
        <f>((160*(1/10)*H851)+H851*(1/20)*874.5)*2</f>
        <v>6713.09</v>
      </c>
      <c r="J851" s="12">
        <v>7751</v>
      </c>
      <c r="K851" s="12">
        <v>40932</v>
      </c>
      <c r="L851" s="14">
        <f t="shared" si="13"/>
        <v>56.2</v>
      </c>
    </row>
    <row r="852" spans="1:12" ht="19.5" x14ac:dyDescent="0.4">
      <c r="A852" s="1">
        <v>851</v>
      </c>
      <c r="B852" s="1" t="s">
        <v>17</v>
      </c>
      <c r="C852" s="1">
        <v>2019</v>
      </c>
      <c r="D852" t="s">
        <v>13</v>
      </c>
      <c r="E852" s="3">
        <v>225298</v>
      </c>
      <c r="F852" s="3">
        <v>1892</v>
      </c>
      <c r="G852" s="13">
        <f>LN(F852/E852)</f>
        <v>-4.7797894997162924</v>
      </c>
      <c r="H852" s="4">
        <v>31.6</v>
      </c>
      <c r="I852" s="4">
        <f>((160*(1/10)*H852)+H852*(1/20)*874.5)*2</f>
        <v>3774.62</v>
      </c>
      <c r="J852" s="12">
        <v>15548</v>
      </c>
      <c r="K852" s="12">
        <v>59284</v>
      </c>
      <c r="L852" s="14">
        <f t="shared" si="13"/>
        <v>31.6</v>
      </c>
    </row>
    <row r="853" spans="1:12" ht="19.5" x14ac:dyDescent="0.4">
      <c r="A853" s="1">
        <v>852</v>
      </c>
      <c r="B853" s="1" t="s">
        <v>17</v>
      </c>
      <c r="C853" s="1">
        <v>2019</v>
      </c>
      <c r="D853" t="s">
        <v>14</v>
      </c>
      <c r="E853" s="3">
        <v>225298</v>
      </c>
      <c r="F853" s="3">
        <v>1501</v>
      </c>
      <c r="G853" s="13">
        <f>LN(F853/E853)</f>
        <v>-5.0112924176946541</v>
      </c>
      <c r="H853" s="4">
        <v>43.8</v>
      </c>
      <c r="I853" s="4">
        <f>((160*(1/10)*H853)+H853*(1/20)*874.5)*2</f>
        <v>5231.91</v>
      </c>
      <c r="J853" s="12">
        <v>8519</v>
      </c>
      <c r="K853" s="12">
        <v>35078</v>
      </c>
      <c r="L853" s="14">
        <f t="shared" si="13"/>
        <v>43.8</v>
      </c>
    </row>
    <row r="854" spans="1:12" ht="19.5" x14ac:dyDescent="0.4">
      <c r="A854" s="1">
        <v>853</v>
      </c>
      <c r="B854" s="1" t="s">
        <v>17</v>
      </c>
      <c r="C854" s="1">
        <v>2019</v>
      </c>
      <c r="D854" t="s">
        <v>15</v>
      </c>
      <c r="E854" s="3">
        <v>135777</v>
      </c>
      <c r="F854" s="3">
        <v>1865</v>
      </c>
      <c r="G854" s="13">
        <f>LN(F854/E854)</f>
        <v>-4.2877527809688969</v>
      </c>
      <c r="H854" s="4">
        <v>43.6</v>
      </c>
      <c r="I854" s="4">
        <f>((160*(1/10)*H854)+H854*(1/20)*874.5)*2</f>
        <v>5208.0200000000004</v>
      </c>
      <c r="J854" s="12">
        <v>8295</v>
      </c>
      <c r="K854" s="12">
        <v>50017</v>
      </c>
      <c r="L854" s="14">
        <f t="shared" si="13"/>
        <v>43.6</v>
      </c>
    </row>
    <row r="855" spans="1:12" ht="19.5" x14ac:dyDescent="0.4">
      <c r="A855" s="1">
        <v>854</v>
      </c>
      <c r="B855" s="1" t="s">
        <v>17</v>
      </c>
      <c r="C855" s="1">
        <v>2019</v>
      </c>
      <c r="D855" t="s">
        <v>16</v>
      </c>
      <c r="E855" s="3">
        <v>217040</v>
      </c>
      <c r="F855" s="3">
        <v>7531</v>
      </c>
      <c r="G855" s="13">
        <f>LN(F855/E855)</f>
        <v>-3.3610538332314617</v>
      </c>
      <c r="H855" s="4">
        <v>13.8</v>
      </c>
      <c r="I855" s="4">
        <f>((160*(1/10)*H855)+H855*(1/20)*874.5)*2</f>
        <v>1648.4100000000003</v>
      </c>
      <c r="J855" s="12">
        <v>16187</v>
      </c>
      <c r="K855" s="12">
        <v>63371</v>
      </c>
      <c r="L855" s="14">
        <f t="shared" si="13"/>
        <v>13.8</v>
      </c>
    </row>
    <row r="856" spans="1:12" ht="19.5" x14ac:dyDescent="0.4">
      <c r="A856" s="1">
        <v>855</v>
      </c>
      <c r="B856" s="1" t="s">
        <v>17</v>
      </c>
      <c r="C856" s="1">
        <v>2019</v>
      </c>
      <c r="D856" t="s">
        <v>17</v>
      </c>
      <c r="E856" s="3">
        <v>142625</v>
      </c>
      <c r="F856" s="3">
        <v>42440</v>
      </c>
      <c r="G856" s="13">
        <f>LN(F856/E856)</f>
        <v>-1.2121274944364573</v>
      </c>
      <c r="H856" s="4">
        <v>4.4000000000000004</v>
      </c>
      <c r="I856" s="4">
        <f>((160*(1/10)*H856)+H856*(1/20)*874.5)*2</f>
        <v>525.58000000000004</v>
      </c>
      <c r="J856" s="12">
        <v>10775</v>
      </c>
      <c r="K856" s="12">
        <v>46523</v>
      </c>
      <c r="L856" s="14">
        <f t="shared" si="13"/>
        <v>4.4000000000000004</v>
      </c>
    </row>
    <row r="857" spans="1:12" ht="19.5" x14ac:dyDescent="0.4">
      <c r="A857" s="1">
        <v>856</v>
      </c>
      <c r="B857" s="1" t="s">
        <v>17</v>
      </c>
      <c r="C857" s="1">
        <v>2019</v>
      </c>
      <c r="D857" t="s">
        <v>18</v>
      </c>
      <c r="E857" s="3">
        <v>56869</v>
      </c>
      <c r="F857" s="3">
        <v>2072</v>
      </c>
      <c r="G857" s="13">
        <f>LN(F857/E857)</f>
        <v>-3.3122360528034465</v>
      </c>
      <c r="H857" s="4">
        <v>18.399999999999999</v>
      </c>
      <c r="I857" s="4">
        <f>((160*(1/10)*H857)+H857*(1/20)*874.5)*2</f>
        <v>2197.88</v>
      </c>
      <c r="J857" s="12">
        <v>4168</v>
      </c>
      <c r="K857" s="12">
        <v>19403</v>
      </c>
      <c r="L857" s="14">
        <f t="shared" si="13"/>
        <v>18.399999999999999</v>
      </c>
    </row>
    <row r="858" spans="1:12" ht="19.5" x14ac:dyDescent="0.4">
      <c r="A858" s="1">
        <v>857</v>
      </c>
      <c r="B858" s="1" t="s">
        <v>17</v>
      </c>
      <c r="C858" s="1">
        <v>2019</v>
      </c>
      <c r="D858" t="s">
        <v>19</v>
      </c>
      <c r="E858" s="3">
        <v>121056</v>
      </c>
      <c r="F858" s="3">
        <v>1037</v>
      </c>
      <c r="G858" s="13">
        <f>LN(F858/E858)</f>
        <v>-4.7599213192032286</v>
      </c>
      <c r="H858" s="4">
        <v>55.4</v>
      </c>
      <c r="I858" s="4">
        <f>((160*(1/10)*H858)+H858*(1/20)*874.5)*2</f>
        <v>6617.5300000000007</v>
      </c>
      <c r="J858" s="12">
        <v>8520</v>
      </c>
      <c r="K858" s="12">
        <v>38101</v>
      </c>
      <c r="L858" s="14">
        <f t="shared" si="13"/>
        <v>55.4</v>
      </c>
    </row>
    <row r="859" spans="1:12" ht="19.5" x14ac:dyDescent="0.4">
      <c r="A859" s="5">
        <v>858</v>
      </c>
      <c r="B859" s="5" t="s">
        <v>17</v>
      </c>
      <c r="C859" s="5">
        <v>2019</v>
      </c>
      <c r="D859" s="6" t="s">
        <v>20</v>
      </c>
      <c r="E859" s="7">
        <v>58171</v>
      </c>
      <c r="F859" s="7">
        <v>690</v>
      </c>
      <c r="G859" s="15">
        <f>LN(F859/E859)</f>
        <v>-4.4344506301576594</v>
      </c>
      <c r="H859" s="8">
        <v>68.2</v>
      </c>
      <c r="I859" s="8">
        <f>((160*(1/10)*H859)+H859*(1/20)*874.5)*2</f>
        <v>8146.49</v>
      </c>
      <c r="J859" s="10">
        <v>3816</v>
      </c>
      <c r="K859" s="10">
        <v>19636</v>
      </c>
      <c r="L859" s="16">
        <f t="shared" si="13"/>
        <v>68.2</v>
      </c>
    </row>
    <row r="860" spans="1:12" ht="19.5" x14ac:dyDescent="0.4">
      <c r="A860" s="1">
        <v>859</v>
      </c>
      <c r="B860" s="1" t="s">
        <v>17</v>
      </c>
      <c r="C860" s="1">
        <v>2023</v>
      </c>
      <c r="D860" t="s">
        <v>8</v>
      </c>
      <c r="E860" s="3">
        <v>248680</v>
      </c>
      <c r="F860" s="3">
        <v>2386</v>
      </c>
      <c r="G860" s="13">
        <f>LN(F860/E860)</f>
        <v>-4.6465486057254122</v>
      </c>
      <c r="H860" s="4">
        <v>20.8</v>
      </c>
      <c r="I860" s="4">
        <f>((160*(1/10)*H860)+H860*(1/20)*874.5)*2</f>
        <v>2484.56</v>
      </c>
      <c r="J860" s="12">
        <v>15767</v>
      </c>
      <c r="K860" s="12">
        <v>67093</v>
      </c>
      <c r="L860" s="14">
        <f t="shared" si="13"/>
        <v>20.8</v>
      </c>
    </row>
    <row r="861" spans="1:12" ht="19.5" x14ac:dyDescent="0.4">
      <c r="A861" s="1">
        <v>860</v>
      </c>
      <c r="B861" s="1" t="s">
        <v>17</v>
      </c>
      <c r="C861" s="1">
        <v>2023</v>
      </c>
      <c r="D861" t="s">
        <v>9</v>
      </c>
      <c r="E861" s="3">
        <v>289323</v>
      </c>
      <c r="F861" s="3">
        <v>6096</v>
      </c>
      <c r="G861" s="13">
        <f>LN(F861/E861)</f>
        <v>-3.859910892684411</v>
      </c>
      <c r="H861" s="4">
        <v>18</v>
      </c>
      <c r="I861" s="4">
        <f>((160*(1/10)*H861)+H861*(1/20)*874.5)*2</f>
        <v>2150.1000000000004</v>
      </c>
      <c r="J861" s="12">
        <v>21442</v>
      </c>
      <c r="K861" s="12">
        <v>81653</v>
      </c>
      <c r="L861" s="14">
        <f t="shared" si="13"/>
        <v>18</v>
      </c>
    </row>
    <row r="862" spans="1:12" ht="19.5" x14ac:dyDescent="0.4">
      <c r="A862" s="1">
        <v>861</v>
      </c>
      <c r="B862" s="1" t="s">
        <v>17</v>
      </c>
      <c r="C862" s="1">
        <v>2023</v>
      </c>
      <c r="D862" t="s">
        <v>10</v>
      </c>
      <c r="E862" s="3">
        <v>265379</v>
      </c>
      <c r="F862" s="3">
        <v>2574</v>
      </c>
      <c r="G862" s="13">
        <f>LN(F862/E862)</f>
        <v>-4.6356978837457801</v>
      </c>
      <c r="H862" s="4">
        <v>23.4</v>
      </c>
      <c r="I862" s="4">
        <f>((160*(1/10)*H862)+H862*(1/20)*874.5)*2</f>
        <v>2795.13</v>
      </c>
      <c r="J862" s="12">
        <v>19571</v>
      </c>
      <c r="K862" s="12">
        <v>74654</v>
      </c>
      <c r="L862" s="14">
        <f t="shared" ref="L862:L925" si="14">H862</f>
        <v>23.4</v>
      </c>
    </row>
    <row r="863" spans="1:12" ht="19.5" x14ac:dyDescent="0.4">
      <c r="A863" s="1">
        <v>862</v>
      </c>
      <c r="B863" s="1" t="s">
        <v>17</v>
      </c>
      <c r="C863" s="1">
        <v>2023</v>
      </c>
      <c r="D863" t="s">
        <v>11</v>
      </c>
      <c r="E863" s="3">
        <v>211835</v>
      </c>
      <c r="F863" s="3">
        <v>2493</v>
      </c>
      <c r="G863" s="13">
        <f>LN(F863/E863)</f>
        <v>-4.4423208652096404</v>
      </c>
      <c r="H863" s="4">
        <v>30.8</v>
      </c>
      <c r="I863" s="4">
        <f>((160*(1/10)*H863)+H863*(1/20)*874.5)*2</f>
        <v>3679.06</v>
      </c>
      <c r="J863" s="12">
        <v>15073</v>
      </c>
      <c r="K863" s="12">
        <v>53700</v>
      </c>
      <c r="L863" s="14">
        <f t="shared" si="14"/>
        <v>30.8</v>
      </c>
    </row>
    <row r="864" spans="1:12" ht="19.5" x14ac:dyDescent="0.4">
      <c r="A864" s="1">
        <v>863</v>
      </c>
      <c r="B864" s="1" t="s">
        <v>17</v>
      </c>
      <c r="C864" s="1">
        <v>2023</v>
      </c>
      <c r="D864" t="s">
        <v>12</v>
      </c>
      <c r="E864" s="3">
        <v>125083</v>
      </c>
      <c r="F864" s="3">
        <v>1117</v>
      </c>
      <c r="G864" s="13">
        <f>LN(F864/E864)</f>
        <v>-4.7183309968647738</v>
      </c>
      <c r="H864" s="4">
        <v>56.2</v>
      </c>
      <c r="I864" s="4">
        <f>((160*(1/10)*H864)+H864*(1/20)*874.5)*2</f>
        <v>6713.09</v>
      </c>
      <c r="J864" s="12">
        <v>7751</v>
      </c>
      <c r="K864" s="12">
        <v>40932</v>
      </c>
      <c r="L864" s="14">
        <f t="shared" si="14"/>
        <v>56.2</v>
      </c>
    </row>
    <row r="865" spans="1:12" ht="19.5" x14ac:dyDescent="0.4">
      <c r="A865" s="1">
        <v>864</v>
      </c>
      <c r="B865" s="1" t="s">
        <v>17</v>
      </c>
      <c r="C865" s="1">
        <v>2023</v>
      </c>
      <c r="D865" t="s">
        <v>13</v>
      </c>
      <c r="E865" s="3">
        <v>225298</v>
      </c>
      <c r="F865" s="3">
        <v>2878</v>
      </c>
      <c r="G865" s="13">
        <f>LN(F865/E865)</f>
        <v>-4.3603283618808026</v>
      </c>
      <c r="H865" s="4">
        <v>31.6</v>
      </c>
      <c r="I865" s="4">
        <f>((160*(1/10)*H865)+H865*(1/20)*874.5)*2</f>
        <v>3774.62</v>
      </c>
      <c r="J865" s="12">
        <v>15548</v>
      </c>
      <c r="K865" s="12">
        <v>59284</v>
      </c>
      <c r="L865" s="14">
        <f t="shared" si="14"/>
        <v>31.6</v>
      </c>
    </row>
    <row r="866" spans="1:12" ht="19.5" x14ac:dyDescent="0.4">
      <c r="A866" s="1">
        <v>865</v>
      </c>
      <c r="B866" s="1" t="s">
        <v>17</v>
      </c>
      <c r="C866" s="1">
        <v>2023</v>
      </c>
      <c r="D866" t="s">
        <v>14</v>
      </c>
      <c r="E866" s="3">
        <v>225298</v>
      </c>
      <c r="F866" s="3">
        <v>1049</v>
      </c>
      <c r="G866" s="13">
        <f>LN(F866/E866)</f>
        <v>-5.3695866409318187</v>
      </c>
      <c r="H866" s="4">
        <v>43.8</v>
      </c>
      <c r="I866" s="4">
        <f>((160*(1/10)*H866)+H866*(1/20)*874.5)*2</f>
        <v>5231.91</v>
      </c>
      <c r="J866" s="12">
        <v>8519</v>
      </c>
      <c r="K866" s="12">
        <v>35078</v>
      </c>
      <c r="L866" s="14">
        <f t="shared" si="14"/>
        <v>43.8</v>
      </c>
    </row>
    <row r="867" spans="1:12" ht="19.5" x14ac:dyDescent="0.4">
      <c r="A867" s="1">
        <v>866</v>
      </c>
      <c r="B867" s="1" t="s">
        <v>17</v>
      </c>
      <c r="C867" s="1">
        <v>2023</v>
      </c>
      <c r="D867" t="s">
        <v>15</v>
      </c>
      <c r="E867" s="3">
        <v>135777</v>
      </c>
      <c r="F867" s="3">
        <v>2162</v>
      </c>
      <c r="G867" s="13">
        <f>LN(F867/E867)</f>
        <v>-4.1399801148476589</v>
      </c>
      <c r="H867" s="4">
        <v>43.6</v>
      </c>
      <c r="I867" s="4">
        <f>((160*(1/10)*H867)+H867*(1/20)*874.5)*2</f>
        <v>5208.0200000000004</v>
      </c>
      <c r="J867" s="12">
        <v>8295</v>
      </c>
      <c r="K867" s="12">
        <v>50017</v>
      </c>
      <c r="L867" s="14">
        <f t="shared" si="14"/>
        <v>43.6</v>
      </c>
    </row>
    <row r="868" spans="1:12" ht="19.5" x14ac:dyDescent="0.4">
      <c r="A868" s="1">
        <v>867</v>
      </c>
      <c r="B868" s="1" t="s">
        <v>17</v>
      </c>
      <c r="C868" s="1">
        <v>2023</v>
      </c>
      <c r="D868" t="s">
        <v>16</v>
      </c>
      <c r="E868" s="3">
        <v>217040</v>
      </c>
      <c r="F868" s="3">
        <v>8169</v>
      </c>
      <c r="G868" s="13">
        <f>LN(F868/E868)</f>
        <v>-3.2797351659909442</v>
      </c>
      <c r="H868" s="4">
        <v>13.8</v>
      </c>
      <c r="I868" s="4">
        <f>((160*(1/10)*H868)+H868*(1/20)*874.5)*2</f>
        <v>1648.4100000000003</v>
      </c>
      <c r="J868" s="12">
        <v>16187</v>
      </c>
      <c r="K868" s="12">
        <v>63371</v>
      </c>
      <c r="L868" s="14">
        <f t="shared" si="14"/>
        <v>13.8</v>
      </c>
    </row>
    <row r="869" spans="1:12" ht="19.5" x14ac:dyDescent="0.4">
      <c r="A869" s="1">
        <v>868</v>
      </c>
      <c r="B869" s="1" t="s">
        <v>17</v>
      </c>
      <c r="C869" s="1">
        <v>2023</v>
      </c>
      <c r="D869" t="s">
        <v>17</v>
      </c>
      <c r="E869" s="3">
        <v>142625</v>
      </c>
      <c r="F869" s="3">
        <v>24187</v>
      </c>
      <c r="G869" s="13">
        <f>LN(F869/E869)</f>
        <v>-1.7744035094405299</v>
      </c>
      <c r="H869" s="4">
        <v>4.4000000000000004</v>
      </c>
      <c r="I869" s="4">
        <f>((160*(1/10)*H869)+H869*(1/20)*874.5)*2</f>
        <v>525.58000000000004</v>
      </c>
      <c r="J869" s="12">
        <v>10775</v>
      </c>
      <c r="K869" s="12">
        <v>46523</v>
      </c>
      <c r="L869" s="14">
        <f t="shared" si="14"/>
        <v>4.4000000000000004</v>
      </c>
    </row>
    <row r="870" spans="1:12" ht="19.5" x14ac:dyDescent="0.4">
      <c r="A870" s="1">
        <v>869</v>
      </c>
      <c r="B870" s="1" t="s">
        <v>17</v>
      </c>
      <c r="C870" s="1">
        <v>2023</v>
      </c>
      <c r="D870" t="s">
        <v>18</v>
      </c>
      <c r="E870" s="3">
        <v>56869</v>
      </c>
      <c r="F870" s="3">
        <v>1210</v>
      </c>
      <c r="G870" s="13">
        <f>LN(F870/E870)</f>
        <v>-3.8501300175920337</v>
      </c>
      <c r="H870" s="4">
        <v>18.399999999999999</v>
      </c>
      <c r="I870" s="4">
        <f>((160*(1/10)*H870)+H870*(1/20)*874.5)*2</f>
        <v>2197.88</v>
      </c>
      <c r="J870" s="12">
        <v>4168</v>
      </c>
      <c r="K870" s="12">
        <v>19403</v>
      </c>
      <c r="L870" s="14">
        <f t="shared" si="14"/>
        <v>18.399999999999999</v>
      </c>
    </row>
    <row r="871" spans="1:12" ht="19.5" x14ac:dyDescent="0.4">
      <c r="A871" s="1">
        <v>870</v>
      </c>
      <c r="B871" s="1" t="s">
        <v>17</v>
      </c>
      <c r="C871" s="1">
        <v>2023</v>
      </c>
      <c r="D871" t="s">
        <v>19</v>
      </c>
      <c r="E871" s="3">
        <v>121056</v>
      </c>
      <c r="F871" s="3">
        <v>946</v>
      </c>
      <c r="G871" s="13">
        <f>LN(F871/E871)</f>
        <v>-4.8517659583808772</v>
      </c>
      <c r="H871" s="4">
        <v>55.4</v>
      </c>
      <c r="I871" s="4">
        <f>((160*(1/10)*H871)+H871*(1/20)*874.5)*2</f>
        <v>6617.5300000000007</v>
      </c>
      <c r="J871" s="12">
        <v>8520</v>
      </c>
      <c r="K871" s="12">
        <v>38101</v>
      </c>
      <c r="L871" s="14">
        <f t="shared" si="14"/>
        <v>55.4</v>
      </c>
    </row>
    <row r="872" spans="1:12" ht="19.5" x14ac:dyDescent="0.4">
      <c r="A872" s="5">
        <v>871</v>
      </c>
      <c r="B872" s="5" t="s">
        <v>17</v>
      </c>
      <c r="C872" s="5">
        <v>2023</v>
      </c>
      <c r="D872" s="6" t="s">
        <v>20</v>
      </c>
      <c r="E872" s="7">
        <v>58171</v>
      </c>
      <c r="F872" s="7">
        <v>509</v>
      </c>
      <c r="G872" s="15">
        <f>LN(F872/E872)</f>
        <v>-4.7386942111984416</v>
      </c>
      <c r="H872" s="8">
        <v>68.2</v>
      </c>
      <c r="I872" s="8">
        <f>((160*(1/10)*H872)+H872*(1/20)*874.5)*2</f>
        <v>8146.49</v>
      </c>
      <c r="J872" s="10">
        <v>3816</v>
      </c>
      <c r="K872" s="10">
        <v>19636</v>
      </c>
      <c r="L872" s="16">
        <f t="shared" si="14"/>
        <v>68.2</v>
      </c>
    </row>
    <row r="873" spans="1:12" ht="19.5" x14ac:dyDescent="0.4">
      <c r="A873" s="1">
        <v>872</v>
      </c>
      <c r="B873" s="1" t="s">
        <v>17</v>
      </c>
      <c r="C873" s="1">
        <v>2024</v>
      </c>
      <c r="D873" t="s">
        <v>8</v>
      </c>
      <c r="E873" s="3">
        <v>248680</v>
      </c>
      <c r="F873" s="3">
        <v>3602</v>
      </c>
      <c r="G873" s="13">
        <f>LN(F873/E873)</f>
        <v>-4.234677682647372</v>
      </c>
      <c r="H873" s="4">
        <v>20.8</v>
      </c>
      <c r="I873" s="4">
        <f>((160*(1/10)*H873)+H873*(1/20)*874.5)*2</f>
        <v>2484.56</v>
      </c>
      <c r="J873" s="12">
        <v>15767</v>
      </c>
      <c r="K873" s="12">
        <v>67093</v>
      </c>
      <c r="L873" s="14">
        <f t="shared" si="14"/>
        <v>20.8</v>
      </c>
    </row>
    <row r="874" spans="1:12" ht="19.5" x14ac:dyDescent="0.4">
      <c r="A874" s="1">
        <v>873</v>
      </c>
      <c r="B874" s="1" t="s">
        <v>17</v>
      </c>
      <c r="C874" s="1">
        <v>2024</v>
      </c>
      <c r="D874" t="s">
        <v>9</v>
      </c>
      <c r="E874" s="3">
        <v>289323</v>
      </c>
      <c r="F874" s="3">
        <v>5942</v>
      </c>
      <c r="G874" s="13">
        <f>LN(F874/E874)</f>
        <v>-3.88549793402834</v>
      </c>
      <c r="H874" s="4">
        <v>18</v>
      </c>
      <c r="I874" s="4">
        <f>((160*(1/10)*H874)+H874*(1/20)*874.5)*2</f>
        <v>2150.1000000000004</v>
      </c>
      <c r="J874" s="12">
        <v>21442</v>
      </c>
      <c r="K874" s="12">
        <v>81653</v>
      </c>
      <c r="L874" s="14">
        <f t="shared" si="14"/>
        <v>18</v>
      </c>
    </row>
    <row r="875" spans="1:12" ht="19.5" x14ac:dyDescent="0.4">
      <c r="A875" s="1">
        <v>874</v>
      </c>
      <c r="B875" s="1" t="s">
        <v>17</v>
      </c>
      <c r="C875" s="1">
        <v>2024</v>
      </c>
      <c r="D875" t="s">
        <v>10</v>
      </c>
      <c r="E875" s="3">
        <v>265379</v>
      </c>
      <c r="F875" s="3">
        <v>3580</v>
      </c>
      <c r="G875" s="13">
        <f>LN(F875/E875)</f>
        <v>-4.3057961925071062</v>
      </c>
      <c r="H875" s="4">
        <v>23.4</v>
      </c>
      <c r="I875" s="4">
        <f>((160*(1/10)*H875)+H875*(1/20)*874.5)*2</f>
        <v>2795.13</v>
      </c>
      <c r="J875" s="12">
        <v>19571</v>
      </c>
      <c r="K875" s="12">
        <v>74654</v>
      </c>
      <c r="L875" s="14">
        <f t="shared" si="14"/>
        <v>23.4</v>
      </c>
    </row>
    <row r="876" spans="1:12" ht="19.5" x14ac:dyDescent="0.4">
      <c r="A876" s="1">
        <v>875</v>
      </c>
      <c r="B876" s="1" t="s">
        <v>17</v>
      </c>
      <c r="C876" s="1">
        <v>2024</v>
      </c>
      <c r="D876" t="s">
        <v>11</v>
      </c>
      <c r="E876" s="3">
        <v>211835</v>
      </c>
      <c r="F876" s="3">
        <v>2546</v>
      </c>
      <c r="G876" s="13">
        <f>LN(F876/E876)</f>
        <v>-4.4212841696158467</v>
      </c>
      <c r="H876" s="4">
        <v>30.8</v>
      </c>
      <c r="I876" s="4">
        <f>((160*(1/10)*H876)+H876*(1/20)*874.5)*2</f>
        <v>3679.06</v>
      </c>
      <c r="J876" s="12">
        <v>15073</v>
      </c>
      <c r="K876" s="12">
        <v>53700</v>
      </c>
      <c r="L876" s="14">
        <f t="shared" si="14"/>
        <v>30.8</v>
      </c>
    </row>
    <row r="877" spans="1:12" ht="19.5" x14ac:dyDescent="0.4">
      <c r="A877" s="1">
        <v>876</v>
      </c>
      <c r="B877" s="1" t="s">
        <v>17</v>
      </c>
      <c r="C877" s="1">
        <v>2024</v>
      </c>
      <c r="D877" t="s">
        <v>12</v>
      </c>
      <c r="E877" s="3">
        <v>125083</v>
      </c>
      <c r="F877" s="3">
        <v>1386</v>
      </c>
      <c r="G877" s="13">
        <f>LN(F877/E877)</f>
        <v>-4.502555616184126</v>
      </c>
      <c r="H877" s="4">
        <v>56.2</v>
      </c>
      <c r="I877" s="4">
        <f>((160*(1/10)*H877)+H877*(1/20)*874.5)*2</f>
        <v>6713.09</v>
      </c>
      <c r="J877" s="12">
        <v>7751</v>
      </c>
      <c r="K877" s="12">
        <v>40932</v>
      </c>
      <c r="L877" s="14">
        <f t="shared" si="14"/>
        <v>56.2</v>
      </c>
    </row>
    <row r="878" spans="1:12" ht="19.5" x14ac:dyDescent="0.4">
      <c r="A878" s="1">
        <v>877</v>
      </c>
      <c r="B878" s="1" t="s">
        <v>17</v>
      </c>
      <c r="C878" s="1">
        <v>2024</v>
      </c>
      <c r="D878" t="s">
        <v>13</v>
      </c>
      <c r="E878" s="3">
        <v>225298</v>
      </c>
      <c r="F878" s="3">
        <v>2364</v>
      </c>
      <c r="G878" s="13">
        <f>LN(F878/E878)</f>
        <v>-4.5570688708021274</v>
      </c>
      <c r="H878" s="4">
        <v>31.6</v>
      </c>
      <c r="I878" s="4">
        <f>((160*(1/10)*H878)+H878*(1/20)*874.5)*2</f>
        <v>3774.62</v>
      </c>
      <c r="J878" s="12">
        <v>15548</v>
      </c>
      <c r="K878" s="12">
        <v>59284</v>
      </c>
      <c r="L878" s="14">
        <f t="shared" si="14"/>
        <v>31.6</v>
      </c>
    </row>
    <row r="879" spans="1:12" ht="19.5" x14ac:dyDescent="0.4">
      <c r="A879" s="1">
        <v>878</v>
      </c>
      <c r="B879" s="1" t="s">
        <v>17</v>
      </c>
      <c r="C879" s="1">
        <v>2024</v>
      </c>
      <c r="D879" t="s">
        <v>14</v>
      </c>
      <c r="E879" s="3">
        <v>225298</v>
      </c>
      <c r="F879" s="3">
        <v>799</v>
      </c>
      <c r="G879" s="13">
        <f>LN(F879/E879)</f>
        <v>-5.6418183035618412</v>
      </c>
      <c r="H879" s="4">
        <v>43.8</v>
      </c>
      <c r="I879" s="4">
        <f>((160*(1/10)*H879)+H879*(1/20)*874.5)*2</f>
        <v>5231.91</v>
      </c>
      <c r="J879" s="12">
        <v>8519</v>
      </c>
      <c r="K879" s="12">
        <v>35078</v>
      </c>
      <c r="L879" s="14">
        <f t="shared" si="14"/>
        <v>43.8</v>
      </c>
    </row>
    <row r="880" spans="1:12" ht="19.5" x14ac:dyDescent="0.4">
      <c r="A880" s="1">
        <v>879</v>
      </c>
      <c r="B880" s="1" t="s">
        <v>17</v>
      </c>
      <c r="C880" s="1">
        <v>2024</v>
      </c>
      <c r="D880" t="s">
        <v>15</v>
      </c>
      <c r="E880" s="3">
        <v>135777</v>
      </c>
      <c r="F880" s="3">
        <v>1871</v>
      </c>
      <c r="G880" s="13">
        <f>LN(F880/E880)</f>
        <v>-4.2845407867727232</v>
      </c>
      <c r="H880" s="4">
        <v>43.6</v>
      </c>
      <c r="I880" s="4">
        <f>((160*(1/10)*H880)+H880*(1/20)*874.5)*2</f>
        <v>5208.0200000000004</v>
      </c>
      <c r="J880" s="12">
        <v>8295</v>
      </c>
      <c r="K880" s="12">
        <v>50017</v>
      </c>
      <c r="L880" s="14">
        <f t="shared" si="14"/>
        <v>43.6</v>
      </c>
    </row>
    <row r="881" spans="1:12" ht="19.5" x14ac:dyDescent="0.4">
      <c r="A881" s="1">
        <v>880</v>
      </c>
      <c r="B881" s="1" t="s">
        <v>17</v>
      </c>
      <c r="C881" s="1">
        <v>2024</v>
      </c>
      <c r="D881" t="s">
        <v>16</v>
      </c>
      <c r="E881" s="3">
        <v>217040</v>
      </c>
      <c r="F881" s="3">
        <v>7023</v>
      </c>
      <c r="G881" s="13">
        <f>LN(F881/E881)</f>
        <v>-3.4308911911737927</v>
      </c>
      <c r="H881" s="4">
        <v>13.8</v>
      </c>
      <c r="I881" s="4">
        <f>((160*(1/10)*H881)+H881*(1/20)*874.5)*2</f>
        <v>1648.4100000000003</v>
      </c>
      <c r="J881" s="12">
        <v>16187</v>
      </c>
      <c r="K881" s="12">
        <v>63371</v>
      </c>
      <c r="L881" s="14">
        <f t="shared" si="14"/>
        <v>13.8</v>
      </c>
    </row>
    <row r="882" spans="1:12" ht="19.5" x14ac:dyDescent="0.4">
      <c r="A882" s="1">
        <v>881</v>
      </c>
      <c r="B882" s="1" t="s">
        <v>17</v>
      </c>
      <c r="C882" s="1">
        <v>2024</v>
      </c>
      <c r="D882" t="s">
        <v>17</v>
      </c>
      <c r="E882" s="3">
        <v>142625</v>
      </c>
      <c r="F882" s="3">
        <v>29923</v>
      </c>
      <c r="G882" s="13">
        <f>LN(F882/E882)</f>
        <v>-1.5615913927227218</v>
      </c>
      <c r="H882" s="4">
        <v>4.4000000000000004</v>
      </c>
      <c r="I882" s="4">
        <f>((160*(1/10)*H882)+H882*(1/20)*874.5)*2</f>
        <v>525.58000000000004</v>
      </c>
      <c r="J882" s="12">
        <v>10775</v>
      </c>
      <c r="K882" s="12">
        <v>46523</v>
      </c>
      <c r="L882" s="14">
        <f t="shared" si="14"/>
        <v>4.4000000000000004</v>
      </c>
    </row>
    <row r="883" spans="1:12" ht="19.5" x14ac:dyDescent="0.4">
      <c r="A883" s="1">
        <v>882</v>
      </c>
      <c r="B883" s="1" t="s">
        <v>17</v>
      </c>
      <c r="C883" s="1">
        <v>2024</v>
      </c>
      <c r="D883" t="s">
        <v>18</v>
      </c>
      <c r="E883" s="3">
        <v>56869</v>
      </c>
      <c r="F883" s="3">
        <v>619</v>
      </c>
      <c r="G883" s="13">
        <f>LN(F883/E883)</f>
        <v>-4.5204003834982238</v>
      </c>
      <c r="H883" s="4">
        <v>18.399999999999999</v>
      </c>
      <c r="I883" s="4">
        <f>((160*(1/10)*H883)+H883*(1/20)*874.5)*2</f>
        <v>2197.88</v>
      </c>
      <c r="J883" s="12">
        <v>4168</v>
      </c>
      <c r="K883" s="12">
        <v>19403</v>
      </c>
      <c r="L883" s="14">
        <f t="shared" si="14"/>
        <v>18.399999999999999</v>
      </c>
    </row>
    <row r="884" spans="1:12" ht="19.5" x14ac:dyDescent="0.4">
      <c r="A884" s="1">
        <v>883</v>
      </c>
      <c r="B884" s="1" t="s">
        <v>17</v>
      </c>
      <c r="C884" s="1">
        <v>2024</v>
      </c>
      <c r="D884" t="s">
        <v>19</v>
      </c>
      <c r="E884" s="3">
        <v>121056</v>
      </c>
      <c r="F884" s="3">
        <v>1357</v>
      </c>
      <c r="G884" s="13">
        <f>LN(F884/E884)</f>
        <v>-4.4909768675978867</v>
      </c>
      <c r="H884" s="4">
        <v>55.4</v>
      </c>
      <c r="I884" s="4">
        <f>((160*(1/10)*H884)+H884*(1/20)*874.5)*2</f>
        <v>6617.5300000000007</v>
      </c>
      <c r="J884" s="12">
        <v>8520</v>
      </c>
      <c r="K884" s="12">
        <v>38101</v>
      </c>
      <c r="L884" s="14">
        <f t="shared" si="14"/>
        <v>55.4</v>
      </c>
    </row>
    <row r="885" spans="1:12" ht="19.5" x14ac:dyDescent="0.4">
      <c r="A885" s="5">
        <v>884</v>
      </c>
      <c r="B885" s="5" t="s">
        <v>17</v>
      </c>
      <c r="C885" s="5">
        <v>2024</v>
      </c>
      <c r="D885" s="6" t="s">
        <v>20</v>
      </c>
      <c r="E885" s="7">
        <v>58171</v>
      </c>
      <c r="F885" s="7">
        <v>422</v>
      </c>
      <c r="G885" s="15">
        <f>LN(F885/E885)</f>
        <v>-4.926136913712952</v>
      </c>
      <c r="H885" s="8">
        <v>68.2</v>
      </c>
      <c r="I885" s="8">
        <f>((160*(1/10)*H885)+H885*(1/20)*874.5)*2</f>
        <v>8146.49</v>
      </c>
      <c r="J885" s="10">
        <v>3816</v>
      </c>
      <c r="K885" s="10">
        <v>19636</v>
      </c>
      <c r="L885" s="16">
        <f t="shared" si="14"/>
        <v>68.2</v>
      </c>
    </row>
    <row r="886" spans="1:12" ht="19.5" x14ac:dyDescent="0.4">
      <c r="A886" s="1">
        <v>885</v>
      </c>
      <c r="B886" s="1" t="s">
        <v>37</v>
      </c>
      <c r="C886" s="1">
        <v>2018</v>
      </c>
      <c r="D886" t="s">
        <v>8</v>
      </c>
      <c r="E886" s="3">
        <v>248680</v>
      </c>
      <c r="F886" s="3">
        <v>1194</v>
      </c>
      <c r="G886" s="13">
        <f>LN(F886/E886)</f>
        <v>-5.3388579144307267</v>
      </c>
      <c r="H886" s="4">
        <v>23.4</v>
      </c>
      <c r="I886" s="4">
        <f>((160*(1/10)*H886)+H886*(1/20)*874.5)*2</f>
        <v>2795.13</v>
      </c>
      <c r="J886" s="12">
        <v>15767</v>
      </c>
      <c r="K886" s="12">
        <v>67093</v>
      </c>
      <c r="L886" s="14">
        <f t="shared" si="14"/>
        <v>23.4</v>
      </c>
    </row>
    <row r="887" spans="1:12" ht="19.5" x14ac:dyDescent="0.4">
      <c r="A887" s="1">
        <v>886</v>
      </c>
      <c r="B887" s="1" t="s">
        <v>37</v>
      </c>
      <c r="C887" s="1">
        <v>2018</v>
      </c>
      <c r="D887" t="s">
        <v>9</v>
      </c>
      <c r="E887" s="3">
        <v>289323</v>
      </c>
      <c r="F887" s="3">
        <v>30373</v>
      </c>
      <c r="G887" s="13">
        <f>LN(F887/E887)</f>
        <v>-2.2539896551972287</v>
      </c>
      <c r="H887" s="4">
        <v>13.8</v>
      </c>
      <c r="I887" s="4">
        <f>((160*(1/10)*H887)+H887*(1/20)*874.5)*2</f>
        <v>1648.4100000000003</v>
      </c>
      <c r="J887" s="12">
        <v>21442</v>
      </c>
      <c r="K887" s="12">
        <v>81653</v>
      </c>
      <c r="L887" s="14">
        <f t="shared" si="14"/>
        <v>13.8</v>
      </c>
    </row>
    <row r="888" spans="1:12" ht="19.5" x14ac:dyDescent="0.4">
      <c r="A888" s="1">
        <v>887</v>
      </c>
      <c r="B888" s="1" t="s">
        <v>37</v>
      </c>
      <c r="C888" s="1">
        <v>2018</v>
      </c>
      <c r="D888" t="s">
        <v>10</v>
      </c>
      <c r="E888" s="3">
        <v>265379</v>
      </c>
      <c r="F888" s="3">
        <v>6633</v>
      </c>
      <c r="G888" s="13">
        <f>LN(F888/E888)</f>
        <v>-3.689101802376296</v>
      </c>
      <c r="H888" s="4">
        <v>17.399999999999999</v>
      </c>
      <c r="I888" s="4">
        <f>((160*(1/10)*H888)+H888*(1/20)*874.5)*2</f>
        <v>2078.4299999999998</v>
      </c>
      <c r="J888" s="12">
        <v>19571</v>
      </c>
      <c r="K888" s="12">
        <v>74654</v>
      </c>
      <c r="L888" s="14">
        <f t="shared" si="14"/>
        <v>17.399999999999999</v>
      </c>
    </row>
    <row r="889" spans="1:12" ht="19.5" x14ac:dyDescent="0.4">
      <c r="A889" s="1">
        <v>888</v>
      </c>
      <c r="B889" s="1" t="s">
        <v>37</v>
      </c>
      <c r="C889" s="1">
        <v>2018</v>
      </c>
      <c r="D889" t="s">
        <v>11</v>
      </c>
      <c r="E889" s="3">
        <v>211835</v>
      </c>
      <c r="F889" s="3">
        <v>513</v>
      </c>
      <c r="G889" s="13">
        <f>LN(F889/E889)</f>
        <v>-6.0232871035624296</v>
      </c>
      <c r="H889" s="4">
        <v>27</v>
      </c>
      <c r="I889" s="4">
        <f>((160*(1/10)*H889)+H889*(1/20)*874.5)*2</f>
        <v>3225.15</v>
      </c>
      <c r="J889" s="12">
        <v>15073</v>
      </c>
      <c r="K889" s="12">
        <v>53700</v>
      </c>
      <c r="L889" s="14">
        <f t="shared" si="14"/>
        <v>27</v>
      </c>
    </row>
    <row r="890" spans="1:12" ht="19.5" x14ac:dyDescent="0.4">
      <c r="A890" s="1">
        <v>889</v>
      </c>
      <c r="B890" s="1" t="s">
        <v>37</v>
      </c>
      <c r="C890" s="1">
        <v>2018</v>
      </c>
      <c r="D890" t="s">
        <v>12</v>
      </c>
      <c r="E890" s="3">
        <v>125083</v>
      </c>
      <c r="F890" s="3">
        <v>497</v>
      </c>
      <c r="G890" s="13">
        <f>LN(F890/E890)</f>
        <v>-5.5281427698373458</v>
      </c>
      <c r="H890" s="4">
        <v>39.200000000000003</v>
      </c>
      <c r="I890" s="4">
        <f>((160*(1/10)*H890)+H890*(1/20)*874.5)*2</f>
        <v>4682.4400000000005</v>
      </c>
      <c r="J890" s="12">
        <v>7751</v>
      </c>
      <c r="K890" s="12">
        <v>40932</v>
      </c>
      <c r="L890" s="14">
        <f t="shared" si="14"/>
        <v>39.200000000000003</v>
      </c>
    </row>
    <row r="891" spans="1:12" ht="19.5" x14ac:dyDescent="0.4">
      <c r="A891" s="1">
        <v>890</v>
      </c>
      <c r="B891" s="1" t="s">
        <v>37</v>
      </c>
      <c r="C891" s="1">
        <v>2018</v>
      </c>
      <c r="D891" t="s">
        <v>13</v>
      </c>
      <c r="E891" s="3">
        <v>225298</v>
      </c>
      <c r="F891" s="3">
        <v>639</v>
      </c>
      <c r="G891" s="13">
        <f>LN(F891/E891)</f>
        <v>-5.8652747949505812</v>
      </c>
      <c r="H891" s="4">
        <v>31.2</v>
      </c>
      <c r="I891" s="4">
        <f>((160*(1/10)*H891)+H891*(1/20)*874.5)*2</f>
        <v>3726.84</v>
      </c>
      <c r="J891" s="12">
        <v>15548</v>
      </c>
      <c r="K891" s="12">
        <v>59284</v>
      </c>
      <c r="L891" s="14">
        <f t="shared" si="14"/>
        <v>31.2</v>
      </c>
    </row>
    <row r="892" spans="1:12" ht="19.5" x14ac:dyDescent="0.4">
      <c r="A892" s="1">
        <v>891</v>
      </c>
      <c r="B892" s="1" t="s">
        <v>37</v>
      </c>
      <c r="C892" s="1">
        <v>2018</v>
      </c>
      <c r="D892" t="s">
        <v>14</v>
      </c>
      <c r="E892" s="3">
        <v>225298</v>
      </c>
      <c r="F892" s="3">
        <v>85</v>
      </c>
      <c r="G892" s="13">
        <f>LN(F892/E892)</f>
        <v>-7.8825279928377991</v>
      </c>
      <c r="H892" s="4">
        <v>42.6</v>
      </c>
      <c r="I892" s="4">
        <f>((160*(1/10)*H892)+H892*(1/20)*874.5)*2</f>
        <v>5088.5700000000006</v>
      </c>
      <c r="J892" s="12">
        <v>8519</v>
      </c>
      <c r="K892" s="12">
        <v>35078</v>
      </c>
      <c r="L892" s="14">
        <f t="shared" si="14"/>
        <v>42.6</v>
      </c>
    </row>
    <row r="893" spans="1:12" ht="19.5" x14ac:dyDescent="0.4">
      <c r="A893" s="1">
        <v>892</v>
      </c>
      <c r="B893" s="1" t="s">
        <v>37</v>
      </c>
      <c r="C893" s="1">
        <v>2018</v>
      </c>
      <c r="D893" t="s">
        <v>15</v>
      </c>
      <c r="E893" s="3">
        <v>135777</v>
      </c>
      <c r="F893" s="3">
        <v>43</v>
      </c>
      <c r="G893" s="13">
        <f>LN(F893/E893)</f>
        <v>-8.0575689973532505</v>
      </c>
      <c r="H893" s="4">
        <v>37.6</v>
      </c>
      <c r="I893" s="4">
        <f>((160*(1/10)*H893)+H893*(1/20)*874.5)*2</f>
        <v>4491.3200000000006</v>
      </c>
      <c r="J893" s="12">
        <v>8295</v>
      </c>
      <c r="K893" s="12">
        <v>50017</v>
      </c>
      <c r="L893" s="14">
        <f t="shared" si="14"/>
        <v>37.6</v>
      </c>
    </row>
    <row r="894" spans="1:12" ht="19.5" x14ac:dyDescent="0.4">
      <c r="A894" s="1">
        <v>893</v>
      </c>
      <c r="B894" s="1" t="s">
        <v>37</v>
      </c>
      <c r="C894" s="1">
        <v>2018</v>
      </c>
      <c r="D894" t="s">
        <v>16</v>
      </c>
      <c r="E894" s="3">
        <v>217040</v>
      </c>
      <c r="F894" s="3">
        <v>2336</v>
      </c>
      <c r="G894" s="13">
        <f>LN(F894/E894)</f>
        <v>-4.5316416033846956</v>
      </c>
      <c r="H894" s="4">
        <v>19</v>
      </c>
      <c r="I894" s="4">
        <f>((160*(1/10)*H894)+H894*(1/20)*874.5)*2</f>
        <v>2269.5500000000002</v>
      </c>
      <c r="J894" s="12">
        <v>16187</v>
      </c>
      <c r="K894" s="12">
        <v>63371</v>
      </c>
      <c r="L894" s="14">
        <f t="shared" si="14"/>
        <v>19</v>
      </c>
    </row>
    <row r="895" spans="1:12" ht="19.5" x14ac:dyDescent="0.4">
      <c r="A895" s="1">
        <v>894</v>
      </c>
      <c r="B895" s="1" t="s">
        <v>37</v>
      </c>
      <c r="C895" s="1">
        <v>2018</v>
      </c>
      <c r="D895" t="s">
        <v>17</v>
      </c>
      <c r="E895" s="3">
        <v>142625</v>
      </c>
      <c r="F895" s="3">
        <v>862</v>
      </c>
      <c r="G895" s="13">
        <f>LN(F895/E895)</f>
        <v>-5.1087188165006836</v>
      </c>
      <c r="H895" s="4">
        <v>19</v>
      </c>
      <c r="I895" s="4">
        <f>((160*(1/10)*H895)+H895*(1/20)*874.5)*2</f>
        <v>2269.5500000000002</v>
      </c>
      <c r="J895" s="12">
        <v>10775</v>
      </c>
      <c r="K895" s="12">
        <v>46523</v>
      </c>
      <c r="L895" s="14">
        <f t="shared" si="14"/>
        <v>19</v>
      </c>
    </row>
    <row r="896" spans="1:12" ht="19.5" x14ac:dyDescent="0.4">
      <c r="A896" s="1">
        <v>895</v>
      </c>
      <c r="B896" s="1" t="s">
        <v>37</v>
      </c>
      <c r="C896" s="1">
        <v>2018</v>
      </c>
      <c r="D896" t="s">
        <v>18</v>
      </c>
      <c r="E896" s="3">
        <v>56869</v>
      </c>
      <c r="F896" s="3">
        <v>745</v>
      </c>
      <c r="G896" s="13">
        <f>LN(F896/E896)</f>
        <v>-4.3351214378032603</v>
      </c>
      <c r="H896" s="4">
        <v>11</v>
      </c>
      <c r="I896" s="4">
        <f>((160*(1/10)*H896)+H896*(1/20)*874.5)*2</f>
        <v>1313.95</v>
      </c>
      <c r="J896" s="12">
        <v>4168</v>
      </c>
      <c r="K896" s="12">
        <v>19403</v>
      </c>
      <c r="L896" s="14">
        <f t="shared" si="14"/>
        <v>11</v>
      </c>
    </row>
    <row r="897" spans="1:12" ht="19.5" x14ac:dyDescent="0.4">
      <c r="A897" s="1">
        <v>896</v>
      </c>
      <c r="B897" s="1" t="s">
        <v>37</v>
      </c>
      <c r="C897" s="1">
        <v>2018</v>
      </c>
      <c r="D897" t="s">
        <v>19</v>
      </c>
      <c r="E897" s="3">
        <v>121056</v>
      </c>
      <c r="F897" s="3">
        <v>291</v>
      </c>
      <c r="G897" s="13">
        <f>LN(F897/E897)</f>
        <v>-6.0306852602612633</v>
      </c>
      <c r="H897" s="4">
        <v>43.8</v>
      </c>
      <c r="I897" s="4">
        <f>((160*(1/10)*H897)+H897*(1/20)*874.5)*2</f>
        <v>5231.91</v>
      </c>
      <c r="J897" s="12">
        <v>8520</v>
      </c>
      <c r="K897" s="12">
        <v>38101</v>
      </c>
      <c r="L897" s="14">
        <f t="shared" si="14"/>
        <v>43.8</v>
      </c>
    </row>
    <row r="898" spans="1:12" ht="19.5" x14ac:dyDescent="0.4">
      <c r="A898" s="5">
        <v>897</v>
      </c>
      <c r="B898" s="5" t="s">
        <v>37</v>
      </c>
      <c r="C898" s="5">
        <v>2018</v>
      </c>
      <c r="D898" s="6" t="s">
        <v>20</v>
      </c>
      <c r="E898" s="7">
        <v>58171</v>
      </c>
      <c r="F898" s="7">
        <v>294</v>
      </c>
      <c r="G898" s="15">
        <f>LN(F898/E898)</f>
        <v>-5.2875624604102827</v>
      </c>
      <c r="H898" s="8">
        <v>58.8</v>
      </c>
      <c r="I898" s="8">
        <f>((160*(1/10)*H898)+H898*(1/20)*874.5)*2</f>
        <v>7023.66</v>
      </c>
      <c r="J898" s="10">
        <v>3816</v>
      </c>
      <c r="K898" s="10">
        <v>19636</v>
      </c>
      <c r="L898" s="16">
        <f t="shared" si="14"/>
        <v>58.8</v>
      </c>
    </row>
    <row r="899" spans="1:12" ht="19.5" x14ac:dyDescent="0.4">
      <c r="A899" s="1">
        <v>898</v>
      </c>
      <c r="B899" s="1" t="s">
        <v>37</v>
      </c>
      <c r="C899" s="1">
        <v>2019</v>
      </c>
      <c r="D899" t="s">
        <v>8</v>
      </c>
      <c r="E899" s="3">
        <v>248680</v>
      </c>
      <c r="F899" s="3">
        <v>456</v>
      </c>
      <c r="G899" s="13">
        <f>LN(F899/E899)</f>
        <v>-6.3014293988688879</v>
      </c>
      <c r="H899" s="4">
        <v>23.4</v>
      </c>
      <c r="I899" s="4">
        <f>((160*(1/10)*H899)+H899*(1/20)*874.5)*2</f>
        <v>2795.13</v>
      </c>
      <c r="J899" s="12">
        <v>15767</v>
      </c>
      <c r="K899" s="12">
        <v>67093</v>
      </c>
      <c r="L899" s="14">
        <f t="shared" si="14"/>
        <v>23.4</v>
      </c>
    </row>
    <row r="900" spans="1:12" ht="19.5" x14ac:dyDescent="0.4">
      <c r="A900" s="1">
        <v>899</v>
      </c>
      <c r="B900" s="1" t="s">
        <v>37</v>
      </c>
      <c r="C900" s="1">
        <v>2019</v>
      </c>
      <c r="D900" t="s">
        <v>9</v>
      </c>
      <c r="E900" s="3">
        <v>289323</v>
      </c>
      <c r="F900" s="3">
        <v>34528</v>
      </c>
      <c r="G900" s="13">
        <f>LN(F900/E900)</f>
        <v>-2.1257731219930318</v>
      </c>
      <c r="H900" s="4">
        <v>13.8</v>
      </c>
      <c r="I900" s="4">
        <f>((160*(1/10)*H900)+H900*(1/20)*874.5)*2</f>
        <v>1648.4100000000003</v>
      </c>
      <c r="J900" s="12">
        <v>21442</v>
      </c>
      <c r="K900" s="12">
        <v>81653</v>
      </c>
      <c r="L900" s="14">
        <f t="shared" si="14"/>
        <v>13.8</v>
      </c>
    </row>
    <row r="901" spans="1:12" ht="19.5" x14ac:dyDescent="0.4">
      <c r="A901" s="1">
        <v>900</v>
      </c>
      <c r="B901" s="1" t="s">
        <v>37</v>
      </c>
      <c r="C901" s="1">
        <v>2019</v>
      </c>
      <c r="D901" t="s">
        <v>10</v>
      </c>
      <c r="E901" s="3">
        <v>265379</v>
      </c>
      <c r="F901" s="3">
        <v>4271</v>
      </c>
      <c r="G901" s="13">
        <f>LN(F901/E901)</f>
        <v>-4.129311001060386</v>
      </c>
      <c r="H901" s="4">
        <v>17.399999999999999</v>
      </c>
      <c r="I901" s="4">
        <f>((160*(1/10)*H901)+H901*(1/20)*874.5)*2</f>
        <v>2078.4299999999998</v>
      </c>
      <c r="J901" s="12">
        <v>19571</v>
      </c>
      <c r="K901" s="12">
        <v>74654</v>
      </c>
      <c r="L901" s="14">
        <f t="shared" si="14"/>
        <v>17.399999999999999</v>
      </c>
    </row>
    <row r="902" spans="1:12" ht="19.5" x14ac:dyDescent="0.4">
      <c r="A902" s="1">
        <v>901</v>
      </c>
      <c r="B902" s="1" t="s">
        <v>37</v>
      </c>
      <c r="C902" s="1">
        <v>2019</v>
      </c>
      <c r="D902" t="s">
        <v>11</v>
      </c>
      <c r="E902" s="3">
        <v>211835</v>
      </c>
      <c r="F902" s="3">
        <v>956</v>
      </c>
      <c r="G902" s="13">
        <f>LN(F902/E902)</f>
        <v>-5.4008050356817972</v>
      </c>
      <c r="H902" s="4">
        <v>27</v>
      </c>
      <c r="I902" s="4">
        <f>((160*(1/10)*H902)+H902*(1/20)*874.5)*2</f>
        <v>3225.15</v>
      </c>
      <c r="J902" s="12">
        <v>15073</v>
      </c>
      <c r="K902" s="12">
        <v>53700</v>
      </c>
      <c r="L902" s="14">
        <f t="shared" si="14"/>
        <v>27</v>
      </c>
    </row>
    <row r="903" spans="1:12" ht="19.5" x14ac:dyDescent="0.4">
      <c r="A903" s="1">
        <v>902</v>
      </c>
      <c r="B903" s="1" t="s">
        <v>37</v>
      </c>
      <c r="C903" s="1">
        <v>2019</v>
      </c>
      <c r="D903" t="s">
        <v>12</v>
      </c>
      <c r="E903" s="3">
        <v>125083</v>
      </c>
      <c r="F903" s="3">
        <v>205</v>
      </c>
      <c r="G903" s="13">
        <f>LN(F903/E903)</f>
        <v>-6.4137228167955662</v>
      </c>
      <c r="H903" s="4">
        <v>39.200000000000003</v>
      </c>
      <c r="I903" s="4">
        <f>((160*(1/10)*H903)+H903*(1/20)*874.5)*2</f>
        <v>4682.4400000000005</v>
      </c>
      <c r="J903" s="12">
        <v>7751</v>
      </c>
      <c r="K903" s="12">
        <v>40932</v>
      </c>
      <c r="L903" s="14">
        <f t="shared" si="14"/>
        <v>39.200000000000003</v>
      </c>
    </row>
    <row r="904" spans="1:12" ht="19.5" x14ac:dyDescent="0.4">
      <c r="A904" s="1">
        <v>903</v>
      </c>
      <c r="B904" s="1" t="s">
        <v>37</v>
      </c>
      <c r="C904" s="1">
        <v>2019</v>
      </c>
      <c r="D904" t="s">
        <v>13</v>
      </c>
      <c r="E904" s="3">
        <v>225298</v>
      </c>
      <c r="F904" s="3">
        <v>455</v>
      </c>
      <c r="G904" s="13">
        <f>LN(F904/E904)</f>
        <v>-6.2048818303771656</v>
      </c>
      <c r="H904" s="4">
        <v>31.2</v>
      </c>
      <c r="I904" s="4">
        <f>((160*(1/10)*H904)+H904*(1/20)*874.5)*2</f>
        <v>3726.84</v>
      </c>
      <c r="J904" s="12">
        <v>15548</v>
      </c>
      <c r="K904" s="12">
        <v>59284</v>
      </c>
      <c r="L904" s="14">
        <f t="shared" si="14"/>
        <v>31.2</v>
      </c>
    </row>
    <row r="905" spans="1:12" ht="19.5" x14ac:dyDescent="0.4">
      <c r="A905" s="1">
        <v>904</v>
      </c>
      <c r="B905" s="1" t="s">
        <v>37</v>
      </c>
      <c r="C905" s="1">
        <v>2019</v>
      </c>
      <c r="D905" t="s">
        <v>14</v>
      </c>
      <c r="E905" s="3">
        <v>225298</v>
      </c>
      <c r="F905" s="3">
        <v>65</v>
      </c>
      <c r="G905" s="13">
        <f>LN(F905/E905)</f>
        <v>-8.1507919794324781</v>
      </c>
      <c r="H905" s="4">
        <v>42.6</v>
      </c>
      <c r="I905" s="4">
        <f>((160*(1/10)*H905)+H905*(1/20)*874.5)*2</f>
        <v>5088.5700000000006</v>
      </c>
      <c r="J905" s="12">
        <v>8519</v>
      </c>
      <c r="K905" s="12">
        <v>35078</v>
      </c>
      <c r="L905" s="14">
        <f t="shared" si="14"/>
        <v>42.6</v>
      </c>
    </row>
    <row r="906" spans="1:12" ht="19.5" x14ac:dyDescent="0.4">
      <c r="A906" s="1">
        <v>905</v>
      </c>
      <c r="B906" s="1" t="s">
        <v>37</v>
      </c>
      <c r="C906" s="1">
        <v>2019</v>
      </c>
      <c r="D906" t="s">
        <v>15</v>
      </c>
      <c r="E906" s="3">
        <v>135777</v>
      </c>
      <c r="F906" s="3">
        <v>114</v>
      </c>
      <c r="G906" s="13">
        <f>LN(F906/E906)</f>
        <v>-7.0825706646523168</v>
      </c>
      <c r="H906" s="4">
        <v>37.6</v>
      </c>
      <c r="I906" s="4">
        <f>((160*(1/10)*H906)+H906*(1/20)*874.5)*2</f>
        <v>4491.3200000000006</v>
      </c>
      <c r="J906" s="12">
        <v>8295</v>
      </c>
      <c r="K906" s="12">
        <v>50017</v>
      </c>
      <c r="L906" s="14">
        <f t="shared" si="14"/>
        <v>37.6</v>
      </c>
    </row>
    <row r="907" spans="1:12" ht="19.5" x14ac:dyDescent="0.4">
      <c r="A907" s="1">
        <v>906</v>
      </c>
      <c r="B907" s="1" t="s">
        <v>37</v>
      </c>
      <c r="C907" s="1">
        <v>2019</v>
      </c>
      <c r="D907" t="s">
        <v>16</v>
      </c>
      <c r="E907" s="3">
        <v>217040</v>
      </c>
      <c r="F907" s="3">
        <v>2931</v>
      </c>
      <c r="G907" s="13">
        <f>LN(F907/E907)</f>
        <v>-4.3047380066219212</v>
      </c>
      <c r="H907" s="4">
        <v>19</v>
      </c>
      <c r="I907" s="4">
        <f>((160*(1/10)*H907)+H907*(1/20)*874.5)*2</f>
        <v>2269.5500000000002</v>
      </c>
      <c r="J907" s="12">
        <v>16187</v>
      </c>
      <c r="K907" s="12">
        <v>63371</v>
      </c>
      <c r="L907" s="14">
        <f t="shared" si="14"/>
        <v>19</v>
      </c>
    </row>
    <row r="908" spans="1:12" ht="19.5" x14ac:dyDescent="0.4">
      <c r="A908" s="1">
        <v>907</v>
      </c>
      <c r="B908" s="1" t="s">
        <v>37</v>
      </c>
      <c r="C908" s="1">
        <v>2019</v>
      </c>
      <c r="D908" t="s">
        <v>17</v>
      </c>
      <c r="E908" s="3">
        <v>142625</v>
      </c>
      <c r="F908" s="3">
        <v>1733</v>
      </c>
      <c r="G908" s="13">
        <f>LN(F908/E908)</f>
        <v>-4.4103647974487705</v>
      </c>
      <c r="H908" s="4">
        <v>19</v>
      </c>
      <c r="I908" s="4">
        <f>((160*(1/10)*H908)+H908*(1/20)*874.5)*2</f>
        <v>2269.5500000000002</v>
      </c>
      <c r="J908" s="12">
        <v>10775</v>
      </c>
      <c r="K908" s="12">
        <v>46523</v>
      </c>
      <c r="L908" s="14">
        <f t="shared" si="14"/>
        <v>19</v>
      </c>
    </row>
    <row r="909" spans="1:12" ht="19.5" x14ac:dyDescent="0.4">
      <c r="A909" s="1">
        <v>908</v>
      </c>
      <c r="B909" s="1" t="s">
        <v>37</v>
      </c>
      <c r="C909" s="1">
        <v>2019</v>
      </c>
      <c r="D909" t="s">
        <v>18</v>
      </c>
      <c r="E909" s="3">
        <v>56869</v>
      </c>
      <c r="F909" s="3">
        <v>1051</v>
      </c>
      <c r="G909" s="13">
        <f>LN(F909/E909)</f>
        <v>-3.991008285305869</v>
      </c>
      <c r="H909" s="4">
        <v>11</v>
      </c>
      <c r="I909" s="4">
        <f>((160*(1/10)*H909)+H909*(1/20)*874.5)*2</f>
        <v>1313.95</v>
      </c>
      <c r="J909" s="12">
        <v>4168</v>
      </c>
      <c r="K909" s="12">
        <v>19403</v>
      </c>
      <c r="L909" s="14">
        <f t="shared" si="14"/>
        <v>11</v>
      </c>
    </row>
    <row r="910" spans="1:12" ht="19.5" x14ac:dyDescent="0.4">
      <c r="A910" s="1">
        <v>909</v>
      </c>
      <c r="B910" s="1" t="s">
        <v>37</v>
      </c>
      <c r="C910" s="1">
        <v>2019</v>
      </c>
      <c r="D910" t="s">
        <v>19</v>
      </c>
      <c r="E910" s="3">
        <v>121056</v>
      </c>
      <c r="F910" s="3">
        <v>1285</v>
      </c>
      <c r="G910" s="13">
        <f>LN(F910/E910)</f>
        <v>-4.5454945301034355</v>
      </c>
      <c r="H910" s="4">
        <v>43.8</v>
      </c>
      <c r="I910" s="4">
        <f>((160*(1/10)*H910)+H910*(1/20)*874.5)*2</f>
        <v>5231.91</v>
      </c>
      <c r="J910" s="12">
        <v>8520</v>
      </c>
      <c r="K910" s="12">
        <v>38101</v>
      </c>
      <c r="L910" s="14">
        <f t="shared" si="14"/>
        <v>43.8</v>
      </c>
    </row>
    <row r="911" spans="1:12" ht="19.5" x14ac:dyDescent="0.4">
      <c r="A911" s="5">
        <v>910</v>
      </c>
      <c r="B911" s="5" t="s">
        <v>37</v>
      </c>
      <c r="C911" s="5">
        <v>2019</v>
      </c>
      <c r="D911" s="6" t="s">
        <v>20</v>
      </c>
      <c r="E911" s="7">
        <v>58171</v>
      </c>
      <c r="F911" s="7">
        <v>66</v>
      </c>
      <c r="G911" s="15">
        <f>LN(F911/E911)</f>
        <v>-6.7814874857225389</v>
      </c>
      <c r="H911" s="8">
        <v>58.8</v>
      </c>
      <c r="I911" s="8">
        <f>((160*(1/10)*H911)+H911*(1/20)*874.5)*2</f>
        <v>7023.66</v>
      </c>
      <c r="J911" s="10">
        <v>3816</v>
      </c>
      <c r="K911" s="10">
        <v>19636</v>
      </c>
      <c r="L911" s="16">
        <f t="shared" si="14"/>
        <v>58.8</v>
      </c>
    </row>
    <row r="912" spans="1:12" ht="19.5" x14ac:dyDescent="0.4">
      <c r="A912" s="1">
        <v>911</v>
      </c>
      <c r="B912" s="1" t="s">
        <v>37</v>
      </c>
      <c r="C912" s="1">
        <v>2023</v>
      </c>
      <c r="D912" t="s">
        <v>8</v>
      </c>
      <c r="E912" s="3">
        <v>248680</v>
      </c>
      <c r="F912" s="3">
        <v>2560</v>
      </c>
      <c r="G912" s="13">
        <f>LN(F912/E912)</f>
        <v>-4.5761596709096652</v>
      </c>
      <c r="H912" s="4">
        <v>23.4</v>
      </c>
      <c r="I912" s="4">
        <f>((160*(1/10)*H912)+H912*(1/20)*874.5)*2</f>
        <v>2795.13</v>
      </c>
      <c r="J912" s="12">
        <v>15767</v>
      </c>
      <c r="K912" s="12">
        <v>67093</v>
      </c>
      <c r="L912" s="14">
        <f t="shared" si="14"/>
        <v>23.4</v>
      </c>
    </row>
    <row r="913" spans="1:12" ht="19.5" x14ac:dyDescent="0.4">
      <c r="A913" s="1">
        <v>912</v>
      </c>
      <c r="B913" s="1" t="s">
        <v>37</v>
      </c>
      <c r="C913" s="1">
        <v>2023</v>
      </c>
      <c r="D913" t="s">
        <v>9</v>
      </c>
      <c r="E913" s="3">
        <v>289323</v>
      </c>
      <c r="F913" s="3">
        <v>22756</v>
      </c>
      <c r="G913" s="13">
        <f>LN(F913/E913)</f>
        <v>-2.542714864180355</v>
      </c>
      <c r="H913" s="4">
        <v>13.8</v>
      </c>
      <c r="I913" s="4">
        <f>((160*(1/10)*H913)+H913*(1/20)*874.5)*2</f>
        <v>1648.4100000000003</v>
      </c>
      <c r="J913" s="12">
        <v>21442</v>
      </c>
      <c r="K913" s="12">
        <v>81653</v>
      </c>
      <c r="L913" s="14">
        <f t="shared" si="14"/>
        <v>13.8</v>
      </c>
    </row>
    <row r="914" spans="1:12" ht="19.5" x14ac:dyDescent="0.4">
      <c r="A914" s="1">
        <v>913</v>
      </c>
      <c r="B914" s="1" t="s">
        <v>37</v>
      </c>
      <c r="C914" s="1">
        <v>2023</v>
      </c>
      <c r="D914" t="s">
        <v>10</v>
      </c>
      <c r="E914" s="3">
        <v>265379</v>
      </c>
      <c r="F914" s="3">
        <v>2068</v>
      </c>
      <c r="G914" s="13">
        <f>LN(F914/E914)</f>
        <v>-4.8545770362735325</v>
      </c>
      <c r="H914" s="4">
        <v>17.399999999999999</v>
      </c>
      <c r="I914" s="4">
        <f>((160*(1/10)*H914)+H914*(1/20)*874.5)*2</f>
        <v>2078.4299999999998</v>
      </c>
      <c r="J914" s="12">
        <v>19571</v>
      </c>
      <c r="K914" s="12">
        <v>74654</v>
      </c>
      <c r="L914" s="14">
        <f t="shared" si="14"/>
        <v>17.399999999999999</v>
      </c>
    </row>
    <row r="915" spans="1:12" ht="19.5" x14ac:dyDescent="0.4">
      <c r="A915" s="1">
        <v>914</v>
      </c>
      <c r="B915" s="1" t="s">
        <v>37</v>
      </c>
      <c r="C915" s="1">
        <v>2023</v>
      </c>
      <c r="D915" t="s">
        <v>11</v>
      </c>
      <c r="E915" s="3">
        <v>211835</v>
      </c>
      <c r="F915" s="3">
        <v>913</v>
      </c>
      <c r="G915" s="13">
        <f>LN(F915/E915)</f>
        <v>-5.44682706813823</v>
      </c>
      <c r="H915" s="4">
        <v>27</v>
      </c>
      <c r="I915" s="4">
        <f>((160*(1/10)*H915)+H915*(1/20)*874.5)*2</f>
        <v>3225.15</v>
      </c>
      <c r="J915" s="12">
        <v>15073</v>
      </c>
      <c r="K915" s="12">
        <v>53700</v>
      </c>
      <c r="L915" s="14">
        <f t="shared" si="14"/>
        <v>27</v>
      </c>
    </row>
    <row r="916" spans="1:12" ht="19.5" x14ac:dyDescent="0.4">
      <c r="A916" s="1">
        <v>915</v>
      </c>
      <c r="B916" s="1" t="s">
        <v>37</v>
      </c>
      <c r="C916" s="1">
        <v>2023</v>
      </c>
      <c r="D916" t="s">
        <v>12</v>
      </c>
      <c r="E916" s="3">
        <v>125083</v>
      </c>
      <c r="F916" s="3">
        <v>458</v>
      </c>
      <c r="G916" s="13">
        <f>LN(F916/E916)</f>
        <v>-5.6098636118197893</v>
      </c>
      <c r="H916" s="4">
        <v>39.200000000000003</v>
      </c>
      <c r="I916" s="4">
        <f>((160*(1/10)*H916)+H916*(1/20)*874.5)*2</f>
        <v>4682.4400000000005</v>
      </c>
      <c r="J916" s="12">
        <v>7751</v>
      </c>
      <c r="K916" s="12">
        <v>40932</v>
      </c>
      <c r="L916" s="14">
        <f t="shared" si="14"/>
        <v>39.200000000000003</v>
      </c>
    </row>
    <row r="917" spans="1:12" ht="19.5" x14ac:dyDescent="0.4">
      <c r="A917" s="1">
        <v>916</v>
      </c>
      <c r="B917" s="1" t="s">
        <v>37</v>
      </c>
      <c r="C917" s="1">
        <v>2023</v>
      </c>
      <c r="D917" t="s">
        <v>13</v>
      </c>
      <c r="E917" s="3">
        <v>225298</v>
      </c>
      <c r="F917" s="3">
        <v>710</v>
      </c>
      <c r="G917" s="13">
        <f>LN(F917/E917)</f>
        <v>-5.7599142792927553</v>
      </c>
      <c r="H917" s="4">
        <v>31.2</v>
      </c>
      <c r="I917" s="4">
        <f>((160*(1/10)*H917)+H917*(1/20)*874.5)*2</f>
        <v>3726.84</v>
      </c>
      <c r="J917" s="12">
        <v>15548</v>
      </c>
      <c r="K917" s="12">
        <v>59284</v>
      </c>
      <c r="L917" s="14">
        <f t="shared" si="14"/>
        <v>31.2</v>
      </c>
    </row>
    <row r="918" spans="1:12" ht="19.5" x14ac:dyDescent="0.4">
      <c r="A918" s="1">
        <v>917</v>
      </c>
      <c r="B918" s="1" t="s">
        <v>37</v>
      </c>
      <c r="C918" s="1">
        <v>2023</v>
      </c>
      <c r="D918" t="s">
        <v>14</v>
      </c>
      <c r="E918" s="3">
        <v>225298</v>
      </c>
      <c r="F918" s="3">
        <v>811</v>
      </c>
      <c r="G918" s="13">
        <f>LN(F918/E918)</f>
        <v>-5.6269111952127036</v>
      </c>
      <c r="H918" s="4">
        <v>42.6</v>
      </c>
      <c r="I918" s="4">
        <f>((160*(1/10)*H918)+H918*(1/20)*874.5)*2</f>
        <v>5088.5700000000006</v>
      </c>
      <c r="J918" s="12">
        <v>8519</v>
      </c>
      <c r="K918" s="12">
        <v>35078</v>
      </c>
      <c r="L918" s="14">
        <f t="shared" si="14"/>
        <v>42.6</v>
      </c>
    </row>
    <row r="919" spans="1:12" ht="19.5" x14ac:dyDescent="0.4">
      <c r="A919" s="1">
        <v>918</v>
      </c>
      <c r="B919" s="1" t="s">
        <v>37</v>
      </c>
      <c r="C919" s="1">
        <v>2023</v>
      </c>
      <c r="D919" t="s">
        <v>15</v>
      </c>
      <c r="E919" s="3">
        <v>135777</v>
      </c>
      <c r="F919" s="3">
        <v>654</v>
      </c>
      <c r="G919" s="13">
        <f>LN(F919/E919)</f>
        <v>-5.3356617615896136</v>
      </c>
      <c r="H919" s="4">
        <v>37.6</v>
      </c>
      <c r="I919" s="4">
        <f>((160*(1/10)*H919)+H919*(1/20)*874.5)*2</f>
        <v>4491.3200000000006</v>
      </c>
      <c r="J919" s="12">
        <v>8295</v>
      </c>
      <c r="K919" s="12">
        <v>50017</v>
      </c>
      <c r="L919" s="14">
        <f t="shared" si="14"/>
        <v>37.6</v>
      </c>
    </row>
    <row r="920" spans="1:12" ht="19.5" x14ac:dyDescent="0.4">
      <c r="A920" s="1">
        <v>919</v>
      </c>
      <c r="B920" s="1" t="s">
        <v>37</v>
      </c>
      <c r="C920" s="1">
        <v>2023</v>
      </c>
      <c r="D920" t="s">
        <v>16</v>
      </c>
      <c r="E920" s="3">
        <v>217040</v>
      </c>
      <c r="F920" s="3">
        <v>2251</v>
      </c>
      <c r="G920" s="13">
        <f>LN(F920/E920)</f>
        <v>-4.5687071064260811</v>
      </c>
      <c r="H920" s="4">
        <v>19</v>
      </c>
      <c r="I920" s="4">
        <f>((160*(1/10)*H920)+H920*(1/20)*874.5)*2</f>
        <v>2269.5500000000002</v>
      </c>
      <c r="J920" s="12">
        <v>16187</v>
      </c>
      <c r="K920" s="12">
        <v>63371</v>
      </c>
      <c r="L920" s="14">
        <f t="shared" si="14"/>
        <v>19</v>
      </c>
    </row>
    <row r="921" spans="1:12" ht="19.5" x14ac:dyDescent="0.4">
      <c r="A921" s="1">
        <v>920</v>
      </c>
      <c r="B921" s="1" t="s">
        <v>37</v>
      </c>
      <c r="C921" s="1">
        <v>2023</v>
      </c>
      <c r="D921" t="s">
        <v>17</v>
      </c>
      <c r="E921" s="3">
        <v>142625</v>
      </c>
      <c r="F921" s="3">
        <v>1154</v>
      </c>
      <c r="G921" s="13">
        <f>LN(F921/E921)</f>
        <v>-4.8169846400963321</v>
      </c>
      <c r="H921" s="4">
        <v>19</v>
      </c>
      <c r="I921" s="4">
        <f>((160*(1/10)*H921)+H921*(1/20)*874.5)*2</f>
        <v>2269.5500000000002</v>
      </c>
      <c r="J921" s="12">
        <v>10775</v>
      </c>
      <c r="K921" s="12">
        <v>46523</v>
      </c>
      <c r="L921" s="14">
        <f t="shared" si="14"/>
        <v>19</v>
      </c>
    </row>
    <row r="922" spans="1:12" ht="19.5" x14ac:dyDescent="0.4">
      <c r="A922" s="1">
        <v>921</v>
      </c>
      <c r="B922" s="1" t="s">
        <v>37</v>
      </c>
      <c r="C922" s="1">
        <v>2023</v>
      </c>
      <c r="D922" t="s">
        <v>18</v>
      </c>
      <c r="E922" s="3">
        <v>56869</v>
      </c>
      <c r="F922" s="3">
        <v>552</v>
      </c>
      <c r="G922" s="13">
        <f>LN(F922/E922)</f>
        <v>-4.634957609905725</v>
      </c>
      <c r="H922" s="4">
        <v>11</v>
      </c>
      <c r="I922" s="4">
        <f>((160*(1/10)*H922)+H922*(1/20)*874.5)*2</f>
        <v>1313.95</v>
      </c>
      <c r="J922" s="12">
        <v>4168</v>
      </c>
      <c r="K922" s="12">
        <v>19403</v>
      </c>
      <c r="L922" s="14">
        <f t="shared" si="14"/>
        <v>11</v>
      </c>
    </row>
    <row r="923" spans="1:12" ht="19.5" x14ac:dyDescent="0.4">
      <c r="A923" s="1">
        <v>922</v>
      </c>
      <c r="B923" s="1" t="s">
        <v>37</v>
      </c>
      <c r="C923" s="1">
        <v>2023</v>
      </c>
      <c r="D923" t="s">
        <v>19</v>
      </c>
      <c r="E923" s="3">
        <v>121056</v>
      </c>
      <c r="F923" s="3">
        <v>1789</v>
      </c>
      <c r="G923" s="13">
        <f>LN(F923/E923)</f>
        <v>-4.2145964439240364</v>
      </c>
      <c r="H923" s="4">
        <v>43.8</v>
      </c>
      <c r="I923" s="4">
        <f>((160*(1/10)*H923)+H923*(1/20)*874.5)*2</f>
        <v>5231.91</v>
      </c>
      <c r="J923" s="12">
        <v>8520</v>
      </c>
      <c r="K923" s="12">
        <v>38101</v>
      </c>
      <c r="L923" s="14">
        <f t="shared" si="14"/>
        <v>43.8</v>
      </c>
    </row>
    <row r="924" spans="1:12" ht="19.5" x14ac:dyDescent="0.4">
      <c r="A924" s="5">
        <v>923</v>
      </c>
      <c r="B924" s="5" t="s">
        <v>37</v>
      </c>
      <c r="C924" s="5">
        <v>2023</v>
      </c>
      <c r="D924" s="6" t="s">
        <v>20</v>
      </c>
      <c r="E924" s="7">
        <v>58171</v>
      </c>
      <c r="F924" s="7">
        <v>157</v>
      </c>
      <c r="G924" s="15">
        <f>LN(F924/E924)</f>
        <v>-5.9148964224006564</v>
      </c>
      <c r="H924" s="8">
        <v>58.8</v>
      </c>
      <c r="I924" s="8">
        <f>((160*(1/10)*H924)+H924*(1/20)*874.5)*2</f>
        <v>7023.66</v>
      </c>
      <c r="J924" s="10">
        <v>3816</v>
      </c>
      <c r="K924" s="10">
        <v>19636</v>
      </c>
      <c r="L924" s="16">
        <f t="shared" si="14"/>
        <v>58.8</v>
      </c>
    </row>
    <row r="925" spans="1:12" ht="19.5" x14ac:dyDescent="0.4">
      <c r="A925" s="1">
        <v>924</v>
      </c>
      <c r="B925" s="1" t="s">
        <v>37</v>
      </c>
      <c r="C925" s="1">
        <v>2024</v>
      </c>
      <c r="D925" t="s">
        <v>8</v>
      </c>
      <c r="E925" s="3">
        <v>248680</v>
      </c>
      <c r="F925" s="3">
        <v>844</v>
      </c>
      <c r="G925" s="13">
        <f>LN(F925/E925)</f>
        <v>-5.6857697137873169</v>
      </c>
      <c r="H925" s="4">
        <v>23.4</v>
      </c>
      <c r="I925" s="4">
        <f>((160*(1/10)*H925)+H925*(1/20)*874.5)*2</f>
        <v>2795.13</v>
      </c>
      <c r="J925" s="12">
        <v>15767</v>
      </c>
      <c r="K925" s="12">
        <v>67093</v>
      </c>
      <c r="L925" s="14">
        <f t="shared" si="14"/>
        <v>23.4</v>
      </c>
    </row>
    <row r="926" spans="1:12" ht="19.5" x14ac:dyDescent="0.4">
      <c r="A926" s="1">
        <v>925</v>
      </c>
      <c r="B926" s="1" t="s">
        <v>37</v>
      </c>
      <c r="C926" s="1">
        <v>2024</v>
      </c>
      <c r="D926" t="s">
        <v>9</v>
      </c>
      <c r="E926" s="3">
        <v>289323</v>
      </c>
      <c r="F926" s="3">
        <v>21590</v>
      </c>
      <c r="G926" s="13">
        <f>LN(F926/E926)</f>
        <v>-2.5953134665420401</v>
      </c>
      <c r="H926" s="4">
        <v>13.8</v>
      </c>
      <c r="I926" s="4">
        <f>((160*(1/10)*H926)+H926*(1/20)*874.5)*2</f>
        <v>1648.4100000000003</v>
      </c>
      <c r="J926" s="12">
        <v>21442</v>
      </c>
      <c r="K926" s="12">
        <v>81653</v>
      </c>
      <c r="L926" s="14">
        <f t="shared" ref="L926:L937" si="15">H926</f>
        <v>13.8</v>
      </c>
    </row>
    <row r="927" spans="1:12" ht="19.5" x14ac:dyDescent="0.4">
      <c r="A927" s="1">
        <v>926</v>
      </c>
      <c r="B927" s="1" t="s">
        <v>37</v>
      </c>
      <c r="C927" s="1">
        <v>2024</v>
      </c>
      <c r="D927" t="s">
        <v>10</v>
      </c>
      <c r="E927" s="3">
        <v>265379</v>
      </c>
      <c r="F927" s="3">
        <v>2966</v>
      </c>
      <c r="G927" s="13">
        <f>LN(F927/E927)</f>
        <v>-4.4939447492039744</v>
      </c>
      <c r="H927" s="4">
        <v>17.399999999999999</v>
      </c>
      <c r="I927" s="4">
        <f>((160*(1/10)*H927)+H927*(1/20)*874.5)*2</f>
        <v>2078.4299999999998</v>
      </c>
      <c r="J927" s="12">
        <v>19571</v>
      </c>
      <c r="K927" s="12">
        <v>74654</v>
      </c>
      <c r="L927" s="14">
        <f t="shared" si="15"/>
        <v>17.399999999999999</v>
      </c>
    </row>
    <row r="928" spans="1:12" ht="19.5" x14ac:dyDescent="0.4">
      <c r="A928" s="1">
        <v>927</v>
      </c>
      <c r="B928" s="1" t="s">
        <v>37</v>
      </c>
      <c r="C928" s="1">
        <v>2024</v>
      </c>
      <c r="D928" t="s">
        <v>11</v>
      </c>
      <c r="E928" s="3">
        <v>211835</v>
      </c>
      <c r="F928" s="3">
        <v>651</v>
      </c>
      <c r="G928" s="13">
        <f>LN(F928/E928)</f>
        <v>-5.7850533065246292</v>
      </c>
      <c r="H928" s="4">
        <v>27</v>
      </c>
      <c r="I928" s="4">
        <f>((160*(1/10)*H928)+H928*(1/20)*874.5)*2</f>
        <v>3225.15</v>
      </c>
      <c r="J928" s="12">
        <v>15073</v>
      </c>
      <c r="K928" s="12">
        <v>53700</v>
      </c>
      <c r="L928" s="14">
        <f t="shared" si="15"/>
        <v>27</v>
      </c>
    </row>
    <row r="929" spans="1:12" ht="19.5" x14ac:dyDescent="0.4">
      <c r="A929" s="1">
        <v>928</v>
      </c>
      <c r="B929" s="1" t="s">
        <v>37</v>
      </c>
      <c r="C929" s="1">
        <v>2024</v>
      </c>
      <c r="D929" t="s">
        <v>12</v>
      </c>
      <c r="E929" s="3">
        <v>125083</v>
      </c>
      <c r="F929" s="3">
        <v>242</v>
      </c>
      <c r="G929" s="13">
        <f>LN(F929/E929)</f>
        <v>-6.2477950697772879</v>
      </c>
      <c r="H929" s="4">
        <v>39.200000000000003</v>
      </c>
      <c r="I929" s="4">
        <f>((160*(1/10)*H929)+H929*(1/20)*874.5)*2</f>
        <v>4682.4400000000005</v>
      </c>
      <c r="J929" s="12">
        <v>7751</v>
      </c>
      <c r="K929" s="12">
        <v>40932</v>
      </c>
      <c r="L929" s="14">
        <f t="shared" si="15"/>
        <v>39.200000000000003</v>
      </c>
    </row>
    <row r="930" spans="1:12" ht="19.5" x14ac:dyDescent="0.4">
      <c r="A930" s="1">
        <v>929</v>
      </c>
      <c r="B930" s="1" t="s">
        <v>37</v>
      </c>
      <c r="C930" s="1">
        <v>2024</v>
      </c>
      <c r="D930" t="s">
        <v>13</v>
      </c>
      <c r="E930" s="3">
        <v>225298</v>
      </c>
      <c r="F930" s="3">
        <v>821</v>
      </c>
      <c r="G930" s="13">
        <f>LN(F930/E930)</f>
        <v>-5.614656139875688</v>
      </c>
      <c r="H930" s="4">
        <v>31.2</v>
      </c>
      <c r="I930" s="4">
        <f>((160*(1/10)*H930)+H930*(1/20)*874.5)*2</f>
        <v>3726.84</v>
      </c>
      <c r="J930" s="12">
        <v>15548</v>
      </c>
      <c r="K930" s="12">
        <v>59284</v>
      </c>
      <c r="L930" s="14">
        <f t="shared" si="15"/>
        <v>31.2</v>
      </c>
    </row>
    <row r="931" spans="1:12" ht="19.5" x14ac:dyDescent="0.4">
      <c r="A931" s="1">
        <v>930</v>
      </c>
      <c r="B931" s="1" t="s">
        <v>37</v>
      </c>
      <c r="C931" s="1">
        <v>2024</v>
      </c>
      <c r="D931" t="s">
        <v>14</v>
      </c>
      <c r="E931" s="3">
        <v>225298</v>
      </c>
      <c r="F931" s="3">
        <v>890</v>
      </c>
      <c r="G931" s="13">
        <f>LN(F931/E931)</f>
        <v>-5.5339577866019303</v>
      </c>
      <c r="H931" s="4">
        <v>42.6</v>
      </c>
      <c r="I931" s="4">
        <f>((160*(1/10)*H931)+H931*(1/20)*874.5)*2</f>
        <v>5088.5700000000006</v>
      </c>
      <c r="J931" s="12">
        <v>8519</v>
      </c>
      <c r="K931" s="12">
        <v>35078</v>
      </c>
      <c r="L931" s="14">
        <f t="shared" si="15"/>
        <v>42.6</v>
      </c>
    </row>
    <row r="932" spans="1:12" ht="19.5" x14ac:dyDescent="0.4">
      <c r="A932" s="1">
        <v>931</v>
      </c>
      <c r="B932" s="1" t="s">
        <v>37</v>
      </c>
      <c r="C932" s="1">
        <v>2024</v>
      </c>
      <c r="D932" t="s">
        <v>15</v>
      </c>
      <c r="E932" s="3">
        <v>135777</v>
      </c>
      <c r="F932" s="3">
        <v>687</v>
      </c>
      <c r="G932" s="13">
        <f>LN(F932/E932)</f>
        <v>-5.2864348208244634</v>
      </c>
      <c r="H932" s="4">
        <v>37.6</v>
      </c>
      <c r="I932" s="4">
        <f>((160*(1/10)*H932)+H932*(1/20)*874.5)*2</f>
        <v>4491.3200000000006</v>
      </c>
      <c r="J932" s="12">
        <v>8295</v>
      </c>
      <c r="K932" s="12">
        <v>50017</v>
      </c>
      <c r="L932" s="14">
        <f t="shared" si="15"/>
        <v>37.6</v>
      </c>
    </row>
    <row r="933" spans="1:12" ht="19.5" x14ac:dyDescent="0.4">
      <c r="A933" s="1">
        <v>932</v>
      </c>
      <c r="B933" s="1" t="s">
        <v>37</v>
      </c>
      <c r="C933" s="1">
        <v>2024</v>
      </c>
      <c r="D933" t="s">
        <v>16</v>
      </c>
      <c r="E933" s="3">
        <v>217040</v>
      </c>
      <c r="F933" s="3">
        <v>4473</v>
      </c>
      <c r="G933" s="13">
        <f>LN(F933/E933)</f>
        <v>-3.882022343899965</v>
      </c>
      <c r="H933" s="4">
        <v>19</v>
      </c>
      <c r="I933" s="4">
        <f>((160*(1/10)*H933)+H933*(1/20)*874.5)*2</f>
        <v>2269.5500000000002</v>
      </c>
      <c r="J933" s="12">
        <v>16187</v>
      </c>
      <c r="K933" s="12">
        <v>63371</v>
      </c>
      <c r="L933" s="14">
        <f t="shared" si="15"/>
        <v>19</v>
      </c>
    </row>
    <row r="934" spans="1:12" ht="19.5" x14ac:dyDescent="0.4">
      <c r="A934" s="1">
        <v>933</v>
      </c>
      <c r="B934" s="1" t="s">
        <v>37</v>
      </c>
      <c r="C934" s="1">
        <v>2024</v>
      </c>
      <c r="D934" t="s">
        <v>17</v>
      </c>
      <c r="E934" s="3">
        <v>142625</v>
      </c>
      <c r="F934" s="3">
        <v>3939</v>
      </c>
      <c r="G934" s="13">
        <f>LN(F934/E934)</f>
        <v>-3.5892919241934709</v>
      </c>
      <c r="H934" s="4">
        <v>19</v>
      </c>
      <c r="I934" s="4">
        <f>((160*(1/10)*H934)+H934*(1/20)*874.5)*2</f>
        <v>2269.5500000000002</v>
      </c>
      <c r="J934" s="12">
        <v>10775</v>
      </c>
      <c r="K934" s="12">
        <v>46523</v>
      </c>
      <c r="L934" s="14">
        <f t="shared" si="15"/>
        <v>19</v>
      </c>
    </row>
    <row r="935" spans="1:12" ht="19.5" x14ac:dyDescent="0.4">
      <c r="A935" s="1">
        <v>934</v>
      </c>
      <c r="B935" s="1" t="s">
        <v>37</v>
      </c>
      <c r="C935" s="1">
        <v>2024</v>
      </c>
      <c r="D935" t="s">
        <v>18</v>
      </c>
      <c r="E935" s="3">
        <v>56869</v>
      </c>
      <c r="F935" s="3">
        <v>1561</v>
      </c>
      <c r="G935" s="13">
        <f>LN(F935/E935)</f>
        <v>-3.5954237356673882</v>
      </c>
      <c r="H935" s="4">
        <v>11</v>
      </c>
      <c r="I935" s="4">
        <f>((160*(1/10)*H935)+H935*(1/20)*874.5)*2</f>
        <v>1313.95</v>
      </c>
      <c r="J935" s="12">
        <v>4168</v>
      </c>
      <c r="K935" s="12">
        <v>19403</v>
      </c>
      <c r="L935" s="14">
        <f t="shared" si="15"/>
        <v>11</v>
      </c>
    </row>
    <row r="936" spans="1:12" ht="19.5" x14ac:dyDescent="0.4">
      <c r="A936" s="1">
        <v>935</v>
      </c>
      <c r="B936" s="1" t="s">
        <v>37</v>
      </c>
      <c r="C936" s="1">
        <v>2024</v>
      </c>
      <c r="D936" t="s">
        <v>19</v>
      </c>
      <c r="E936" s="3">
        <v>121056</v>
      </c>
      <c r="F936" s="3">
        <v>0</v>
      </c>
      <c r="G936" s="13"/>
      <c r="H936" s="4">
        <v>43.8</v>
      </c>
      <c r="I936" s="4">
        <f>((160*(1/10)*H936)+H936*(1/20)*874.5)*2</f>
        <v>5231.91</v>
      </c>
      <c r="J936" s="12">
        <v>8520</v>
      </c>
      <c r="K936" s="12">
        <v>38101</v>
      </c>
      <c r="L936" s="14"/>
    </row>
    <row r="937" spans="1:12" ht="19.5" x14ac:dyDescent="0.4">
      <c r="A937" s="5">
        <v>936</v>
      </c>
      <c r="B937" s="5" t="s">
        <v>37</v>
      </c>
      <c r="C937" s="5">
        <v>2024</v>
      </c>
      <c r="D937" s="6" t="s">
        <v>20</v>
      </c>
      <c r="E937" s="7">
        <v>58171</v>
      </c>
      <c r="F937" s="7">
        <v>23</v>
      </c>
      <c r="G937" s="15">
        <f>LN(F937/E937)</f>
        <v>-7.8356480118198144</v>
      </c>
      <c r="H937" s="8">
        <v>58.8</v>
      </c>
      <c r="I937" s="8">
        <f>((160*(1/10)*H937)+H937*(1/20)*874.5)*2</f>
        <v>7023.66</v>
      </c>
      <c r="J937" s="10">
        <v>3816</v>
      </c>
      <c r="K937" s="10">
        <v>19636</v>
      </c>
      <c r="L937" s="16">
        <f t="shared" si="15"/>
        <v>58.8</v>
      </c>
    </row>
  </sheetData>
  <sortState xmlns:xlrd2="http://schemas.microsoft.com/office/spreadsheetml/2017/richdata2" ref="A2:K142">
    <sortCondition ref="A2:A142"/>
  </sortState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庄子　康</dc:creator>
  <cp:lastModifiedBy>庄子　康</cp:lastModifiedBy>
  <dcterms:created xsi:type="dcterms:W3CDTF">2025-01-24T22:10:29Z</dcterms:created>
  <dcterms:modified xsi:type="dcterms:W3CDTF">2025-02-07T02:59:00Z</dcterms:modified>
</cp:coreProperties>
</file>